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tona-my.sharepoint.com/personal/wniziolek_baltona_pl/Documents/Pulpit/"/>
    </mc:Choice>
  </mc:AlternateContent>
  <xr:revisionPtr revIDLastSave="4459" documentId="8_{252CD9F6-39C8-452E-9FA7-8E55FF2D5E1A}" xr6:coauthVersionLast="47" xr6:coauthVersionMax="47" xr10:uidLastSave="{1C20A752-0100-4528-AB2A-E28E8001884B}"/>
  <bookViews>
    <workbookView xWindow="-110" yWindow="-110" windowWidth="19420" windowHeight="11500" xr2:uid="{8F82DBA2-2742-4AC5-80C8-0A8DC4A3483E}"/>
  </bookViews>
  <sheets>
    <sheet name="Lokale" sheetId="1" r:id="rId1"/>
    <sheet name="Listy" sheetId="4" r:id="rId2"/>
    <sheet name="Pomoc" sheetId="3" state="hidden" r:id="rId3"/>
    <sheet name="Drabiny i podesty" sheetId="5" r:id="rId4"/>
    <sheet name="Przeglądy" sheetId="2" r:id="rId5"/>
  </sheets>
  <definedNames>
    <definedName name="ListaLokali">_xlfn._xlws.FILTER(TabelaLokale[Nr lokalu],TabelaLokale[Miasto]=Przeglądy!$A1)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6" i="2" l="1" a="1"/>
  <c r="AJ36" i="2" s="1"/>
  <c r="M36" i="2" a="1"/>
  <c r="M36" i="2" s="1"/>
  <c r="J36" i="2"/>
  <c r="G36" i="2"/>
  <c r="H36" i="2" s="1"/>
  <c r="AJ35" i="2" a="1"/>
  <c r="AJ35" i="2" s="1"/>
  <c r="M35" i="2" a="1"/>
  <c r="M35" i="2" s="1"/>
  <c r="J35" i="2"/>
  <c r="G35" i="2"/>
  <c r="H35" i="2" s="1"/>
  <c r="J34" i="2"/>
  <c r="G34" i="2"/>
  <c r="H34" i="2" s="1"/>
  <c r="AJ33" i="2" a="1"/>
  <c r="AJ33" i="2" s="1"/>
  <c r="M33" i="2" a="1"/>
  <c r="M33" i="2" s="1"/>
  <c r="J33" i="2"/>
  <c r="G33" i="2"/>
  <c r="H33" i="2" s="1"/>
  <c r="AJ32" i="2" a="1"/>
  <c r="AJ32" i="2" s="1"/>
  <c r="M32" i="2" a="1"/>
  <c r="M32" i="2" s="1"/>
  <c r="J32" i="2"/>
  <c r="G32" i="2"/>
  <c r="H32" i="2" s="1"/>
  <c r="AJ31" i="2" a="1"/>
  <c r="AJ31" i="2" s="1"/>
  <c r="M31" i="2" a="1"/>
  <c r="M31" i="2" s="1"/>
  <c r="J31" i="2"/>
  <c r="G31" i="2"/>
  <c r="H31" i="2" s="1"/>
  <c r="AJ30" i="2" a="1"/>
  <c r="AJ30" i="2" s="1"/>
  <c r="M30" i="2" a="1"/>
  <c r="M30" i="2" s="1"/>
  <c r="J30" i="2"/>
  <c r="G30" i="2"/>
  <c r="H30" i="2" s="1"/>
  <c r="AJ29" i="2" a="1"/>
  <c r="AJ29" i="2" s="1"/>
  <c r="M29" i="2" a="1"/>
  <c r="M29" i="2" s="1"/>
  <c r="J29" i="2"/>
  <c r="G29" i="2"/>
  <c r="H29" i="2" s="1"/>
  <c r="AJ28" i="2" a="1"/>
  <c r="AJ28" i="2" s="1"/>
  <c r="M28" i="2" a="1"/>
  <c r="M28" i="2" s="1"/>
  <c r="J28" i="2"/>
  <c r="G28" i="2"/>
  <c r="H28" i="2" s="1"/>
  <c r="G37" i="2"/>
  <c r="H37" i="2" s="1"/>
  <c r="J37" i="2"/>
  <c r="G27" i="2"/>
  <c r="H27" i="2" s="1"/>
  <c r="J27" i="2"/>
  <c r="G103" i="2"/>
  <c r="H103" i="2" s="1"/>
  <c r="J103" i="2"/>
  <c r="G89" i="2"/>
  <c r="H89" i="2" s="1"/>
  <c r="J89" i="2"/>
  <c r="AJ109" i="2" a="1"/>
  <c r="AJ109" i="2" s="1"/>
  <c r="G109" i="2"/>
  <c r="H109" i="2" s="1"/>
  <c r="J109" i="2"/>
  <c r="AJ19" i="2" a="1"/>
  <c r="AJ19" i="2" s="1"/>
  <c r="AJ20" i="2" a="1"/>
  <c r="AJ20" i="2" s="1"/>
  <c r="AJ21" i="2" a="1"/>
  <c r="AJ21" i="2" s="1"/>
  <c r="AJ22" i="2" a="1"/>
  <c r="AJ22" i="2" s="1"/>
  <c r="AJ23" i="2" a="1"/>
  <c r="AJ23" i="2" s="1"/>
  <c r="AJ24" i="2" a="1"/>
  <c r="AJ24" i="2" s="1"/>
  <c r="AJ25" i="2" a="1"/>
  <c r="AJ25" i="2" s="1"/>
  <c r="AJ26" i="2" a="1"/>
  <c r="AJ26" i="2" s="1"/>
  <c r="AJ38" i="2" a="1"/>
  <c r="AJ38" i="2" s="1"/>
  <c r="AJ39" i="2" a="1"/>
  <c r="AJ39" i="2" s="1"/>
  <c r="AJ40" i="2" a="1"/>
  <c r="AJ40" i="2" s="1"/>
  <c r="AJ41" i="2" a="1"/>
  <c r="AJ41" i="2" s="1"/>
  <c r="AJ42" i="2" a="1"/>
  <c r="AJ42" i="2" s="1"/>
  <c r="AJ43" i="2" a="1"/>
  <c r="AJ43" i="2" s="1"/>
  <c r="AJ44" i="2" a="1"/>
  <c r="AJ44" i="2" s="1"/>
  <c r="AJ45" i="2" a="1"/>
  <c r="AJ45" i="2" s="1"/>
  <c r="AJ46" i="2" a="1"/>
  <c r="AJ46" i="2" s="1"/>
  <c r="AJ47" i="2" a="1"/>
  <c r="AJ47" i="2" s="1"/>
  <c r="AJ48" i="2" a="1"/>
  <c r="AJ48" i="2" s="1"/>
  <c r="AJ49" i="2" a="1"/>
  <c r="AJ49" i="2" s="1"/>
  <c r="AJ50" i="2" a="1"/>
  <c r="AJ50" i="2" s="1"/>
  <c r="AJ51" i="2" a="1"/>
  <c r="AJ51" i="2" s="1"/>
  <c r="AJ52" i="2" a="1"/>
  <c r="AJ52" i="2" s="1"/>
  <c r="AJ53" i="2" a="1"/>
  <c r="AJ53" i="2" s="1"/>
  <c r="AJ54" i="2" a="1"/>
  <c r="AJ54" i="2" s="1"/>
  <c r="AJ55" i="2" a="1"/>
  <c r="AJ55" i="2" s="1"/>
  <c r="AJ56" i="2" a="1"/>
  <c r="AJ56" i="2" s="1"/>
  <c r="AJ57" i="2" a="1"/>
  <c r="AJ57" i="2" s="1"/>
  <c r="AJ58" i="2" a="1"/>
  <c r="AJ58" i="2" s="1"/>
  <c r="AJ59" i="2" a="1"/>
  <c r="AJ59" i="2" s="1"/>
  <c r="AJ60" i="2" a="1"/>
  <c r="AJ60" i="2" s="1"/>
  <c r="AJ61" i="2" a="1"/>
  <c r="AJ61" i="2" s="1"/>
  <c r="AJ62" i="2" a="1"/>
  <c r="AJ62" i="2" s="1"/>
  <c r="AJ63" i="2" a="1"/>
  <c r="AJ63" i="2" s="1"/>
  <c r="AJ64" i="2" a="1"/>
  <c r="AJ64" i="2" s="1"/>
  <c r="AJ65" i="2" a="1"/>
  <c r="AJ65" i="2" s="1"/>
  <c r="AJ66" i="2" a="1"/>
  <c r="AJ66" i="2" s="1"/>
  <c r="AJ67" i="2" a="1"/>
  <c r="AJ67" i="2" s="1"/>
  <c r="AJ68" i="2" a="1"/>
  <c r="AJ68" i="2" s="1"/>
  <c r="AJ69" i="2" a="1"/>
  <c r="AJ69" i="2" s="1"/>
  <c r="AJ70" i="2" a="1"/>
  <c r="AJ70" i="2" s="1"/>
  <c r="AJ71" i="2" a="1"/>
  <c r="AJ71" i="2" s="1"/>
  <c r="AJ72" i="2" a="1"/>
  <c r="AJ72" i="2" s="1"/>
  <c r="AJ73" i="2" a="1"/>
  <c r="AJ73" i="2" s="1"/>
  <c r="AJ74" i="2" a="1"/>
  <c r="AJ74" i="2" s="1"/>
  <c r="AJ75" i="2" a="1"/>
  <c r="AJ75" i="2" s="1"/>
  <c r="AJ76" i="2" a="1"/>
  <c r="AJ76" i="2" s="1"/>
  <c r="AJ77" i="2" a="1"/>
  <c r="AJ77" i="2" s="1"/>
  <c r="AJ78" i="2" a="1"/>
  <c r="AJ78" i="2" s="1"/>
  <c r="AJ79" i="2" a="1"/>
  <c r="AJ79" i="2" s="1"/>
  <c r="AJ80" i="2" a="1"/>
  <c r="AJ80" i="2" s="1"/>
  <c r="AJ81" i="2" a="1"/>
  <c r="AJ81" i="2" s="1"/>
  <c r="AJ82" i="2" a="1"/>
  <c r="AJ82" i="2" s="1"/>
  <c r="AJ83" i="2" a="1"/>
  <c r="AJ83" i="2" s="1"/>
  <c r="AJ84" i="2" a="1"/>
  <c r="AJ84" i="2" s="1"/>
  <c r="AJ85" i="2" a="1"/>
  <c r="AJ85" i="2" s="1"/>
  <c r="AJ86" i="2" a="1"/>
  <c r="AJ86" i="2" s="1"/>
  <c r="AJ87" i="2" a="1"/>
  <c r="AJ87" i="2" s="1"/>
  <c r="AJ88" i="2" a="1"/>
  <c r="AJ88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G19" i="2"/>
  <c r="H19" i="2" s="1"/>
  <c r="J19" i="2"/>
  <c r="G20" i="2"/>
  <c r="H20" i="2" s="1"/>
  <c r="J20" i="2"/>
  <c r="G21" i="2"/>
  <c r="H21" i="2" s="1"/>
  <c r="J21" i="2"/>
  <c r="G22" i="2"/>
  <c r="H22" i="2" s="1"/>
  <c r="J22" i="2"/>
  <c r="G23" i="2"/>
  <c r="H23" i="2" s="1"/>
  <c r="J23" i="2"/>
  <c r="G24" i="2"/>
  <c r="H24" i="2" s="1"/>
  <c r="J24" i="2"/>
  <c r="G25" i="2"/>
  <c r="H25" i="2" s="1"/>
  <c r="J25" i="2"/>
  <c r="G26" i="2"/>
  <c r="H26" i="2" s="1"/>
  <c r="J26" i="2"/>
  <c r="G105" i="2"/>
  <c r="H105" i="2" s="1"/>
  <c r="J105" i="2"/>
  <c r="M105" i="2" a="1"/>
  <c r="M105" i="2" s="1"/>
  <c r="AJ105" i="2" a="1"/>
  <c r="AJ105" i="2" s="1"/>
  <c r="G120" i="2"/>
  <c r="H120" i="2" s="1"/>
  <c r="J120" i="2"/>
  <c r="G42" i="2"/>
  <c r="H42" i="2" s="1"/>
  <c r="J42" i="2"/>
  <c r="G93" i="2"/>
  <c r="H93" i="2" s="1"/>
  <c r="J93" i="2"/>
  <c r="M93" i="2" a="1"/>
  <c r="M93" i="2" s="1"/>
  <c r="AJ93" i="2" a="1"/>
  <c r="AJ93" i="2" s="1"/>
  <c r="G99" i="2"/>
  <c r="H99" i="2" s="1"/>
  <c r="J99" i="2"/>
  <c r="M99" i="2" a="1"/>
  <c r="M99" i="2" s="1"/>
  <c r="AJ99" i="2" a="1"/>
  <c r="AJ99" i="2" s="1"/>
  <c r="AJ124" i="2" a="1"/>
  <c r="AJ124" i="2" s="1"/>
  <c r="AJ125" i="2" a="1"/>
  <c r="AJ125" i="2" s="1"/>
  <c r="AJ126" i="2" a="1"/>
  <c r="AJ126" i="2" s="1"/>
  <c r="AJ127" i="2" a="1"/>
  <c r="AJ127" i="2" s="1"/>
  <c r="AJ128" i="2" a="1"/>
  <c r="AJ128" i="2" s="1"/>
  <c r="AJ129" i="2" a="1"/>
  <c r="AJ129" i="2" s="1"/>
  <c r="AJ130" i="2" a="1"/>
  <c r="AJ130" i="2" s="1"/>
  <c r="AJ131" i="2" a="1"/>
  <c r="AJ131" i="2" s="1"/>
  <c r="AJ132" i="2" a="1"/>
  <c r="AJ132" i="2" s="1"/>
  <c r="AJ133" i="2" a="1"/>
  <c r="AJ133" i="2" s="1"/>
  <c r="AJ134" i="2" a="1"/>
  <c r="AJ134" i="2" s="1"/>
  <c r="AJ135" i="2" a="1"/>
  <c r="AJ135" i="2" s="1"/>
  <c r="AJ136" i="2" a="1"/>
  <c r="AJ136" i="2" s="1"/>
  <c r="AJ137" i="2" a="1"/>
  <c r="AJ137" i="2" s="1"/>
  <c r="AJ138" i="2" a="1"/>
  <c r="AJ138" i="2" s="1"/>
  <c r="AJ139" i="2" a="1"/>
  <c r="AJ139" i="2" s="1"/>
  <c r="AJ140" i="2" a="1"/>
  <c r="AJ140" i="2" s="1"/>
  <c r="AJ141" i="2" a="1"/>
  <c r="AJ141" i="2" s="1"/>
  <c r="AJ142" i="2" a="1"/>
  <c r="AJ142" i="2" s="1"/>
  <c r="AJ143" i="2" a="1"/>
  <c r="AJ143" i="2" s="1"/>
  <c r="AJ144" i="2" a="1"/>
  <c r="AJ144" i="2" s="1"/>
  <c r="AJ145" i="2" a="1"/>
  <c r="AJ145" i="2" s="1"/>
  <c r="AJ146" i="2" a="1"/>
  <c r="AJ146" i="2" s="1"/>
  <c r="AJ147" i="2" a="1"/>
  <c r="AJ147" i="2" s="1"/>
  <c r="AJ148" i="2" a="1"/>
  <c r="AJ148" i="2" s="1"/>
  <c r="AJ149" i="2" a="1"/>
  <c r="AJ149" i="2" s="1"/>
  <c r="AJ150" i="2" a="1"/>
  <c r="AJ150" i="2" s="1"/>
  <c r="AJ151" i="2" a="1"/>
  <c r="AJ151" i="2" s="1"/>
  <c r="AJ152" i="2" a="1"/>
  <c r="AJ152" i="2" s="1"/>
  <c r="AJ153" i="2" a="1"/>
  <c r="AJ153" i="2" s="1"/>
  <c r="AJ154" i="2" a="1"/>
  <c r="AJ154" i="2" s="1"/>
  <c r="AJ155" i="2" a="1"/>
  <c r="AJ155" i="2" s="1"/>
  <c r="AJ156" i="2" a="1"/>
  <c r="AJ156" i="2" s="1"/>
  <c r="AJ157" i="2" a="1"/>
  <c r="AJ157" i="2" s="1"/>
  <c r="AJ158" i="2" a="1"/>
  <c r="AJ158" i="2" s="1"/>
  <c r="AJ159" i="2" a="1"/>
  <c r="AJ159" i="2" s="1"/>
  <c r="AJ160" i="2" a="1"/>
  <c r="AJ160" i="2" s="1"/>
  <c r="AJ161" i="2" a="1"/>
  <c r="AJ161" i="2" s="1"/>
  <c r="AJ162" i="2" a="1"/>
  <c r="AJ162" i="2" s="1"/>
  <c r="AJ163" i="2" a="1"/>
  <c r="AJ163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AJ176" i="2" a="1"/>
  <c r="AJ176" i="2" s="1"/>
  <c r="AJ177" i="2" a="1"/>
  <c r="AJ177" i="2" s="1"/>
  <c r="AJ178" i="2" a="1"/>
  <c r="AJ178" i="2" s="1"/>
  <c r="AJ179" i="2" a="1"/>
  <c r="AJ179" i="2" s="1"/>
  <c r="AJ180" i="2" a="1"/>
  <c r="AJ180" i="2" s="1"/>
  <c r="AJ181" i="2" a="1"/>
  <c r="AJ181" i="2" s="1"/>
  <c r="AJ182" i="2" a="1"/>
  <c r="AJ182" i="2" s="1"/>
  <c r="AJ183" i="2" a="1"/>
  <c r="AJ183" i="2" s="1"/>
  <c r="AJ184" i="2" a="1"/>
  <c r="AJ184" i="2" s="1"/>
  <c r="AJ185" i="2" a="1"/>
  <c r="AJ185" i="2" s="1"/>
  <c r="AJ186" i="2" a="1"/>
  <c r="AJ186" i="2" s="1"/>
  <c r="AJ187" i="2" a="1"/>
  <c r="AJ187" i="2" s="1"/>
  <c r="AJ188" i="2" a="1"/>
  <c r="AJ188" i="2" s="1"/>
  <c r="AJ189" i="2" a="1"/>
  <c r="AJ189" i="2" s="1"/>
  <c r="AJ190" i="2" a="1"/>
  <c r="AJ190" i="2" s="1"/>
  <c r="AJ191" i="2" a="1"/>
  <c r="AJ191" i="2" s="1"/>
  <c r="AJ192" i="2" a="1"/>
  <c r="AJ192" i="2" s="1"/>
  <c r="AJ193" i="2" a="1"/>
  <c r="AJ193" i="2" s="1"/>
  <c r="AJ194" i="2" a="1"/>
  <c r="AJ194" i="2" s="1"/>
  <c r="AJ195" i="2" a="1"/>
  <c r="AJ195" i="2" s="1"/>
  <c r="AJ196" i="2" a="1"/>
  <c r="AJ196" i="2" s="1"/>
  <c r="AJ197" i="2" a="1"/>
  <c r="AJ197" i="2" s="1"/>
  <c r="AJ198" i="2" a="1"/>
  <c r="AJ198" i="2" s="1"/>
  <c r="AJ199" i="2" a="1"/>
  <c r="AJ199" i="2" s="1"/>
  <c r="AJ200" i="2" a="1"/>
  <c r="AJ200" i="2" s="1"/>
  <c r="AJ201" i="2" a="1"/>
  <c r="AJ201" i="2" s="1"/>
  <c r="AJ202" i="2" a="1"/>
  <c r="AJ202" i="2" s="1"/>
  <c r="AJ203" i="2" a="1"/>
  <c r="AJ203" i="2" s="1"/>
  <c r="AJ204" i="2" a="1"/>
  <c r="AJ204" i="2" s="1"/>
  <c r="AJ205" i="2" a="1"/>
  <c r="AJ205" i="2" s="1"/>
  <c r="AJ206" i="2" a="1"/>
  <c r="AJ206" i="2" s="1"/>
  <c r="AJ207" i="2" a="1"/>
  <c r="AJ207" i="2" s="1"/>
  <c r="AJ208" i="2" a="1"/>
  <c r="AJ208" i="2" s="1"/>
  <c r="AJ209" i="2" a="1"/>
  <c r="AJ209" i="2" s="1"/>
  <c r="AJ210" i="2" a="1"/>
  <c r="AJ210" i="2" s="1"/>
  <c r="AJ211" i="2" a="1"/>
  <c r="AJ211" i="2" s="1"/>
  <c r="AJ212" i="2" a="1"/>
  <c r="AJ212" i="2" s="1"/>
  <c r="AJ213" i="2" a="1"/>
  <c r="AJ213" i="2" s="1"/>
  <c r="AJ214" i="2" a="1"/>
  <c r="AJ214" i="2" s="1"/>
  <c r="AJ215" i="2" a="1"/>
  <c r="AJ215" i="2" s="1"/>
  <c r="AJ216" i="2" a="1"/>
  <c r="AJ216" i="2" s="1"/>
  <c r="AJ217" i="2" a="1"/>
  <c r="AJ217" i="2" s="1"/>
  <c r="AJ218" i="2" a="1"/>
  <c r="AJ218" i="2" s="1"/>
  <c r="AJ219" i="2" a="1"/>
  <c r="AJ219" i="2" s="1"/>
  <c r="AJ220" i="2" a="1"/>
  <c r="AJ220" i="2" s="1"/>
  <c r="AJ221" i="2" a="1"/>
  <c r="AJ221" i="2" s="1"/>
  <c r="AJ222" i="2" a="1"/>
  <c r="AJ222" i="2" s="1"/>
  <c r="AJ223" i="2" a="1"/>
  <c r="AJ223" i="2" s="1"/>
  <c r="AJ224" i="2" a="1"/>
  <c r="AJ224" i="2" s="1"/>
  <c r="AJ225" i="2" a="1"/>
  <c r="AJ225" i="2" s="1"/>
  <c r="AJ226" i="2" a="1"/>
  <c r="AJ226" i="2" s="1"/>
  <c r="AJ227" i="2" a="1"/>
  <c r="AJ227" i="2" s="1"/>
  <c r="AJ228" i="2" a="1"/>
  <c r="AJ228" i="2" s="1"/>
  <c r="AJ229" i="2" a="1"/>
  <c r="AJ229" i="2" s="1"/>
  <c r="AJ230" i="2" a="1"/>
  <c r="AJ230" i="2" s="1"/>
  <c r="AJ231" i="2" a="1"/>
  <c r="AJ231" i="2" s="1"/>
  <c r="AJ232" i="2" a="1"/>
  <c r="AJ232" i="2" s="1"/>
  <c r="AJ233" i="2" a="1"/>
  <c r="AJ233" i="2" s="1"/>
  <c r="AJ234" i="2" a="1"/>
  <c r="AJ234" i="2" s="1"/>
  <c r="AJ235" i="2" a="1"/>
  <c r="AJ235" i="2" s="1"/>
  <c r="AJ236" i="2" a="1"/>
  <c r="AJ236" i="2" s="1"/>
  <c r="AJ237" i="2" a="1"/>
  <c r="AJ237" i="2" s="1"/>
  <c r="AJ238" i="2" a="1"/>
  <c r="AJ238" i="2" s="1"/>
  <c r="AJ239" i="2" a="1"/>
  <c r="AJ239" i="2" s="1"/>
  <c r="AJ240" i="2" a="1"/>
  <c r="AJ240" i="2" s="1"/>
  <c r="AJ241" i="2" a="1"/>
  <c r="AJ241" i="2" s="1"/>
  <c r="AJ242" i="2" a="1"/>
  <c r="AJ242" i="2" s="1"/>
  <c r="AJ243" i="2" a="1"/>
  <c r="AJ243" i="2" s="1"/>
  <c r="AJ244" i="2" a="1"/>
  <c r="AJ244" i="2" s="1"/>
  <c r="AJ245" i="2" a="1"/>
  <c r="AJ245" i="2" s="1"/>
  <c r="AJ246" i="2" a="1"/>
  <c r="AJ246" i="2" s="1"/>
  <c r="AJ247" i="2" a="1"/>
  <c r="AJ247" i="2" s="1"/>
  <c r="AJ248" i="2" a="1"/>
  <c r="AJ248" i="2" s="1"/>
  <c r="AJ249" i="2" a="1"/>
  <c r="AJ249" i="2" s="1"/>
  <c r="AJ250" i="2" a="1"/>
  <c r="AJ250" i="2" s="1"/>
  <c r="AJ251" i="2" a="1"/>
  <c r="AJ251" i="2" s="1"/>
  <c r="AJ252" i="2" a="1"/>
  <c r="AJ252" i="2" s="1"/>
  <c r="AJ253" i="2" a="1"/>
  <c r="AJ253" i="2" s="1"/>
  <c r="AJ254" i="2" a="1"/>
  <c r="AJ254" i="2" s="1"/>
  <c r="AJ255" i="2" a="1"/>
  <c r="AJ255" i="2" s="1"/>
  <c r="AJ256" i="2" a="1"/>
  <c r="AJ256" i="2" s="1"/>
  <c r="AJ257" i="2" a="1"/>
  <c r="AJ257" i="2" s="1"/>
  <c r="AJ258" i="2" a="1"/>
  <c r="AJ258" i="2" s="1"/>
  <c r="AJ259" i="2" a="1"/>
  <c r="AJ259" i="2" s="1"/>
  <c r="AJ260" i="2" a="1"/>
  <c r="AJ260" i="2" s="1"/>
  <c r="AJ261" i="2" a="1"/>
  <c r="AJ261" i="2" s="1"/>
  <c r="AJ262" i="2" a="1"/>
  <c r="AJ262" i="2" s="1"/>
  <c r="AJ263" i="2" a="1"/>
  <c r="AJ263" i="2" s="1"/>
  <c r="AJ264" i="2" a="1"/>
  <c r="AJ264" i="2" s="1"/>
  <c r="AJ265" i="2" a="1"/>
  <c r="AJ265" i="2" s="1"/>
  <c r="AJ266" i="2" a="1"/>
  <c r="AJ266" i="2" s="1"/>
  <c r="AJ267" i="2" a="1"/>
  <c r="AJ267" i="2" s="1"/>
  <c r="AJ268" i="2" a="1"/>
  <c r="AJ268" i="2" s="1"/>
  <c r="AJ269" i="2" a="1"/>
  <c r="AJ269" i="2" s="1"/>
  <c r="AJ270" i="2" a="1"/>
  <c r="AJ270" i="2" s="1"/>
  <c r="AJ271" i="2" a="1"/>
  <c r="AJ271" i="2" s="1"/>
  <c r="AJ272" i="2" a="1"/>
  <c r="AJ272" i="2" s="1"/>
  <c r="AJ273" i="2" a="1"/>
  <c r="AJ273" i="2" s="1"/>
  <c r="AJ274" i="2" a="1"/>
  <c r="AJ274" i="2" s="1"/>
  <c r="AJ275" i="2" a="1"/>
  <c r="AJ275" i="2" s="1"/>
  <c r="AJ276" i="2" a="1"/>
  <c r="AJ276" i="2" s="1"/>
  <c r="AJ277" i="2" a="1"/>
  <c r="AJ277" i="2" s="1"/>
  <c r="AJ278" i="2" a="1"/>
  <c r="AJ278" i="2" s="1"/>
  <c r="AJ279" i="2" a="1"/>
  <c r="AJ279" i="2" s="1"/>
  <c r="AJ280" i="2" a="1"/>
  <c r="AJ280" i="2" s="1"/>
  <c r="AJ281" i="2" a="1"/>
  <c r="AJ281" i="2" s="1"/>
  <c r="AJ282" i="2" a="1"/>
  <c r="AJ282" i="2" s="1"/>
  <c r="AJ283" i="2" a="1"/>
  <c r="AJ283" i="2" s="1"/>
  <c r="AJ284" i="2" a="1"/>
  <c r="AJ284" i="2" s="1"/>
  <c r="AJ285" i="2" a="1"/>
  <c r="AJ285" i="2" s="1"/>
  <c r="AJ286" i="2" a="1"/>
  <c r="AJ286" i="2" s="1"/>
  <c r="AJ287" i="2" a="1"/>
  <c r="AJ287" i="2" s="1"/>
  <c r="AJ288" i="2" a="1"/>
  <c r="AJ288" i="2" s="1"/>
  <c r="AJ289" i="2" a="1"/>
  <c r="AJ289" i="2" s="1"/>
  <c r="AJ290" i="2" a="1"/>
  <c r="AJ290" i="2" s="1"/>
  <c r="AJ291" i="2" a="1"/>
  <c r="AJ291" i="2" s="1"/>
  <c r="AJ292" i="2" a="1"/>
  <c r="AJ292" i="2" s="1"/>
  <c r="AJ293" i="2" a="1"/>
  <c r="AJ293" i="2" s="1"/>
  <c r="AJ294" i="2" a="1"/>
  <c r="AJ294" i="2" s="1"/>
  <c r="AJ295" i="2" a="1"/>
  <c r="AJ295" i="2" s="1"/>
  <c r="AJ296" i="2" a="1"/>
  <c r="AJ296" i="2" s="1"/>
  <c r="AJ297" i="2" a="1"/>
  <c r="AJ297" i="2" s="1"/>
  <c r="AJ298" i="2" a="1"/>
  <c r="AJ298" i="2" s="1"/>
  <c r="AJ299" i="2" a="1"/>
  <c r="AJ299" i="2" s="1"/>
  <c r="AJ300" i="2" a="1"/>
  <c r="AJ300" i="2" s="1"/>
  <c r="AJ301" i="2" a="1"/>
  <c r="AJ301" i="2" s="1"/>
  <c r="AJ302" i="2" a="1"/>
  <c r="AJ302" i="2" s="1"/>
  <c r="AJ303" i="2" a="1"/>
  <c r="AJ303" i="2" s="1"/>
  <c r="AJ304" i="2" a="1"/>
  <c r="AJ304" i="2" s="1"/>
  <c r="AJ305" i="2" a="1"/>
  <c r="AJ305" i="2" s="1"/>
  <c r="AJ306" i="2" a="1"/>
  <c r="AJ306" i="2" s="1"/>
  <c r="AJ307" i="2" a="1"/>
  <c r="AJ307" i="2" s="1"/>
  <c r="AJ308" i="2" a="1"/>
  <c r="AJ308" i="2" s="1"/>
  <c r="AJ309" i="2" a="1"/>
  <c r="AJ309" i="2" s="1"/>
  <c r="AJ310" i="2" a="1"/>
  <c r="AJ310" i="2" s="1"/>
  <c r="AJ311" i="2" a="1"/>
  <c r="AJ311" i="2" s="1"/>
  <c r="AJ312" i="2" a="1"/>
  <c r="AJ312" i="2" s="1"/>
  <c r="AJ313" i="2" a="1"/>
  <c r="AJ313" i="2" s="1"/>
  <c r="AJ314" i="2" a="1"/>
  <c r="AJ314" i="2" s="1"/>
  <c r="AJ315" i="2" a="1"/>
  <c r="AJ315" i="2" s="1"/>
  <c r="AJ316" i="2" a="1"/>
  <c r="AJ316" i="2" s="1"/>
  <c r="AJ317" i="2" a="1"/>
  <c r="AJ317" i="2" s="1"/>
  <c r="AJ318" i="2" a="1"/>
  <c r="AJ318" i="2" s="1"/>
  <c r="AJ319" i="2" a="1"/>
  <c r="AJ319" i="2" s="1"/>
  <c r="AJ320" i="2" a="1"/>
  <c r="AJ320" i="2" s="1"/>
  <c r="AJ321" i="2" a="1"/>
  <c r="AJ321" i="2" s="1"/>
  <c r="AJ322" i="2" a="1"/>
  <c r="AJ322" i="2" s="1"/>
  <c r="AJ323" i="2" a="1"/>
  <c r="AJ323" i="2" s="1"/>
  <c r="AJ324" i="2" a="1"/>
  <c r="AJ324" i="2" s="1"/>
  <c r="AJ325" i="2" a="1"/>
  <c r="AJ325" i="2" s="1"/>
  <c r="AJ326" i="2" a="1"/>
  <c r="AJ326" i="2" s="1"/>
  <c r="AJ327" i="2" a="1"/>
  <c r="AJ327" i="2" s="1"/>
  <c r="AJ328" i="2" a="1"/>
  <c r="AJ328" i="2" s="1"/>
  <c r="AJ329" i="2" a="1"/>
  <c r="AJ329" i="2" s="1"/>
  <c r="AJ330" i="2" a="1"/>
  <c r="AJ330" i="2" s="1"/>
  <c r="AJ331" i="2" a="1"/>
  <c r="AJ331" i="2" s="1"/>
  <c r="AJ332" i="2" a="1"/>
  <c r="AJ332" i="2" s="1"/>
  <c r="AJ333" i="2" a="1"/>
  <c r="AJ333" i="2" s="1"/>
  <c r="AJ334" i="2" a="1"/>
  <c r="AJ334" i="2" s="1"/>
  <c r="AJ335" i="2" a="1"/>
  <c r="AJ335" i="2" s="1"/>
  <c r="AJ336" i="2" a="1"/>
  <c r="AJ336" i="2" s="1"/>
  <c r="AJ337" i="2" a="1"/>
  <c r="AJ337" i="2" s="1"/>
  <c r="AJ338" i="2" a="1"/>
  <c r="AJ338" i="2" s="1"/>
  <c r="AJ339" i="2" a="1"/>
  <c r="AJ339" i="2" s="1"/>
  <c r="AJ340" i="2" a="1"/>
  <c r="AJ340" i="2" s="1"/>
  <c r="AJ341" i="2" a="1"/>
  <c r="AJ341" i="2" s="1"/>
  <c r="AJ342" i="2" a="1"/>
  <c r="AJ342" i="2" s="1"/>
  <c r="AJ343" i="2" a="1"/>
  <c r="AJ343" i="2" s="1"/>
  <c r="AJ344" i="2" a="1"/>
  <c r="AJ344" i="2" s="1"/>
  <c r="AJ345" i="2" a="1"/>
  <c r="AJ345" i="2" s="1"/>
  <c r="AJ346" i="2" a="1"/>
  <c r="AJ346" i="2" s="1"/>
  <c r="AJ347" i="2" a="1"/>
  <c r="AJ347" i="2" s="1"/>
  <c r="AJ348" i="2" a="1"/>
  <c r="AJ348" i="2" s="1"/>
  <c r="AJ349" i="2" a="1"/>
  <c r="AJ349" i="2" s="1"/>
  <c r="AJ350" i="2" a="1"/>
  <c r="AJ350" i="2" s="1"/>
  <c r="AJ351" i="2" a="1"/>
  <c r="AJ351" i="2" s="1"/>
  <c r="AJ352" i="2" a="1"/>
  <c r="AJ352" i="2" s="1"/>
  <c r="AJ353" i="2" a="1"/>
  <c r="AJ353" i="2" s="1"/>
  <c r="AJ354" i="2" a="1"/>
  <c r="AJ354" i="2" s="1"/>
  <c r="AJ355" i="2" a="1"/>
  <c r="AJ355" i="2" s="1"/>
  <c r="AJ356" i="2" a="1"/>
  <c r="AJ356" i="2" s="1"/>
  <c r="AJ357" i="2" a="1"/>
  <c r="AJ357" i="2" s="1"/>
  <c r="AJ358" i="2" a="1"/>
  <c r="AJ358" i="2" s="1"/>
  <c r="AJ359" i="2" a="1"/>
  <c r="AJ359" i="2" s="1"/>
  <c r="AJ360" i="2" a="1"/>
  <c r="AJ360" i="2" s="1"/>
  <c r="AJ361" i="2" a="1"/>
  <c r="AJ361" i="2" s="1"/>
  <c r="AJ362" i="2" a="1"/>
  <c r="AJ362" i="2" s="1"/>
  <c r="AJ363" i="2" a="1"/>
  <c r="AJ363" i="2" s="1"/>
  <c r="AJ364" i="2" a="1"/>
  <c r="AJ364" i="2" s="1"/>
  <c r="AJ365" i="2" a="1"/>
  <c r="AJ365" i="2" s="1"/>
  <c r="AJ366" i="2" a="1"/>
  <c r="AJ366" i="2" s="1"/>
  <c r="AJ367" i="2" a="1"/>
  <c r="AJ367" i="2" s="1"/>
  <c r="AJ368" i="2" a="1"/>
  <c r="AJ368" i="2" s="1"/>
  <c r="AJ369" i="2" a="1"/>
  <c r="AJ369" i="2" s="1"/>
  <c r="AJ370" i="2" a="1"/>
  <c r="AJ370" i="2" s="1"/>
  <c r="AJ371" i="2" a="1"/>
  <c r="AJ371" i="2" s="1"/>
  <c r="AJ372" i="2" a="1"/>
  <c r="AJ372" i="2" s="1"/>
  <c r="AJ373" i="2" a="1"/>
  <c r="AJ373" i="2" s="1"/>
  <c r="AJ374" i="2" a="1"/>
  <c r="AJ374" i="2" s="1"/>
  <c r="AJ375" i="2" a="1"/>
  <c r="AJ375" i="2" s="1"/>
  <c r="AJ376" i="2" a="1"/>
  <c r="AJ376" i="2" s="1"/>
  <c r="AJ377" i="2" a="1"/>
  <c r="AJ377" i="2" s="1"/>
  <c r="AJ378" i="2" a="1"/>
  <c r="AJ378" i="2" s="1"/>
  <c r="AJ379" i="2" a="1"/>
  <c r="AJ379" i="2" s="1"/>
  <c r="AJ380" i="2" a="1"/>
  <c r="AJ380" i="2" s="1"/>
  <c r="AJ381" i="2" a="1"/>
  <c r="AJ381" i="2" s="1"/>
  <c r="AJ382" i="2" a="1"/>
  <c r="AJ382" i="2" s="1"/>
  <c r="AJ383" i="2" a="1"/>
  <c r="AJ383" i="2" s="1"/>
  <c r="AJ384" i="2" a="1"/>
  <c r="AJ384" i="2" s="1"/>
  <c r="AJ385" i="2" a="1"/>
  <c r="AJ385" i="2" s="1"/>
  <c r="AJ386" i="2" a="1"/>
  <c r="AJ386" i="2" s="1"/>
  <c r="AJ387" i="2" a="1"/>
  <c r="AJ387" i="2" s="1"/>
  <c r="AJ388" i="2" a="1"/>
  <c r="AJ388" i="2" s="1"/>
  <c r="AJ389" i="2" a="1"/>
  <c r="AJ389" i="2" s="1"/>
  <c r="AJ390" i="2" a="1"/>
  <c r="AJ390" i="2" s="1"/>
  <c r="AJ391" i="2" a="1"/>
  <c r="AJ391" i="2" s="1"/>
  <c r="AJ392" i="2" a="1"/>
  <c r="AJ392" i="2" s="1"/>
  <c r="AJ393" i="2" a="1"/>
  <c r="AJ393" i="2" s="1"/>
  <c r="AJ394" i="2" a="1"/>
  <c r="AJ394" i="2" s="1"/>
  <c r="AJ395" i="2" a="1"/>
  <c r="AJ395" i="2" s="1"/>
  <c r="AJ396" i="2" a="1"/>
  <c r="AJ396" i="2" s="1"/>
  <c r="AJ397" i="2" a="1"/>
  <c r="AJ397" i="2" s="1"/>
  <c r="AJ398" i="2" a="1"/>
  <c r="AJ398" i="2" s="1"/>
  <c r="AJ399" i="2" a="1"/>
  <c r="AJ399" i="2" s="1"/>
  <c r="AJ400" i="2" a="1"/>
  <c r="AJ400" i="2" s="1"/>
  <c r="AJ401" i="2" a="1"/>
  <c r="AJ401" i="2" s="1"/>
  <c r="AJ402" i="2" a="1"/>
  <c r="AJ402" i="2" s="1"/>
  <c r="AJ403" i="2" a="1"/>
  <c r="AJ403" i="2" s="1"/>
  <c r="AJ404" i="2" a="1"/>
  <c r="AJ404" i="2" s="1"/>
  <c r="AJ405" i="2" a="1"/>
  <c r="AJ405" i="2" s="1"/>
  <c r="AJ406" i="2" a="1"/>
  <c r="AJ406" i="2" s="1"/>
  <c r="AJ407" i="2" a="1"/>
  <c r="AJ407" i="2" s="1"/>
  <c r="AJ408" i="2" a="1"/>
  <c r="AJ408" i="2" s="1"/>
  <c r="AJ409" i="2" a="1"/>
  <c r="AJ409" i="2" s="1"/>
  <c r="AJ410" i="2" a="1"/>
  <c r="AJ410" i="2" s="1"/>
  <c r="AJ411" i="2" a="1"/>
  <c r="AJ411" i="2" s="1"/>
  <c r="AJ412" i="2" a="1"/>
  <c r="AJ412" i="2" s="1"/>
  <c r="AJ413" i="2" a="1"/>
  <c r="AJ413" i="2" s="1"/>
  <c r="AJ414" i="2" a="1"/>
  <c r="AJ414" i="2" s="1"/>
  <c r="AJ415" i="2" a="1"/>
  <c r="AJ415" i="2" s="1"/>
  <c r="AJ416" i="2" a="1"/>
  <c r="AJ416" i="2" s="1"/>
  <c r="AJ417" i="2" a="1"/>
  <c r="AJ417" i="2" s="1"/>
  <c r="AJ418" i="2" a="1"/>
  <c r="AJ418" i="2" s="1"/>
  <c r="AJ419" i="2" a="1"/>
  <c r="AJ419" i="2" s="1"/>
  <c r="AJ420" i="2" a="1"/>
  <c r="AJ420" i="2" s="1"/>
  <c r="AJ421" i="2" a="1"/>
  <c r="AJ421" i="2" s="1"/>
  <c r="AJ422" i="2" a="1"/>
  <c r="AJ422" i="2" s="1"/>
  <c r="AJ423" i="2" a="1"/>
  <c r="AJ423" i="2" s="1"/>
  <c r="AJ424" i="2" a="1"/>
  <c r="AJ424" i="2" s="1"/>
  <c r="AJ425" i="2" a="1"/>
  <c r="AJ425" i="2" s="1"/>
  <c r="AJ426" i="2" a="1"/>
  <c r="AJ426" i="2" s="1"/>
  <c r="AJ427" i="2" a="1"/>
  <c r="AJ427" i="2" s="1"/>
  <c r="AJ428" i="2" a="1"/>
  <c r="AJ428" i="2" s="1"/>
  <c r="AJ429" i="2" a="1"/>
  <c r="AJ429" i="2" s="1"/>
  <c r="AJ430" i="2" a="1"/>
  <c r="AJ430" i="2" s="1"/>
  <c r="AJ431" i="2" a="1"/>
  <c r="AJ431" i="2" s="1"/>
  <c r="AJ432" i="2" a="1"/>
  <c r="AJ432" i="2" s="1"/>
  <c r="AJ433" i="2" a="1"/>
  <c r="AJ433" i="2" s="1"/>
  <c r="AJ434" i="2" a="1"/>
  <c r="AJ434" i="2" s="1"/>
  <c r="AJ435" i="2" a="1"/>
  <c r="AJ435" i="2" s="1"/>
  <c r="AJ436" i="2" a="1"/>
  <c r="AJ436" i="2" s="1"/>
  <c r="AJ437" i="2" a="1"/>
  <c r="AJ437" i="2" s="1"/>
  <c r="AJ438" i="2" a="1"/>
  <c r="AJ438" i="2" s="1"/>
  <c r="AJ439" i="2" a="1"/>
  <c r="AJ439" i="2" s="1"/>
  <c r="AJ440" i="2" a="1"/>
  <c r="AJ440" i="2" s="1"/>
  <c r="AJ441" i="2" a="1"/>
  <c r="AJ441" i="2" s="1"/>
  <c r="AJ442" i="2" a="1"/>
  <c r="AJ442" i="2" s="1"/>
  <c r="AJ443" i="2" a="1"/>
  <c r="AJ443" i="2" s="1"/>
  <c r="AJ444" i="2" a="1"/>
  <c r="AJ444" i="2" s="1"/>
  <c r="AJ445" i="2" a="1"/>
  <c r="AJ445" i="2" s="1"/>
  <c r="AJ446" i="2" a="1"/>
  <c r="AJ446" i="2" s="1"/>
  <c r="AJ447" i="2" a="1"/>
  <c r="AJ447" i="2" s="1"/>
  <c r="AJ448" i="2" a="1"/>
  <c r="AJ448" i="2" s="1"/>
  <c r="AJ449" i="2" a="1"/>
  <c r="AJ449" i="2" s="1"/>
  <c r="AJ450" i="2" a="1"/>
  <c r="AJ450" i="2" s="1"/>
  <c r="AJ451" i="2" a="1"/>
  <c r="AJ451" i="2" s="1"/>
  <c r="AJ452" i="2" a="1"/>
  <c r="AJ452" i="2" s="1"/>
  <c r="AJ453" i="2" a="1"/>
  <c r="AJ453" i="2" s="1"/>
  <c r="AJ454" i="2" a="1"/>
  <c r="AJ454" i="2" s="1"/>
  <c r="AJ455" i="2" a="1"/>
  <c r="AJ455" i="2" s="1"/>
  <c r="AJ456" i="2" a="1"/>
  <c r="AJ456" i="2" s="1"/>
  <c r="AJ457" i="2" a="1"/>
  <c r="AJ457" i="2" s="1"/>
  <c r="AJ458" i="2" a="1"/>
  <c r="AJ458" i="2" s="1"/>
  <c r="AJ459" i="2" a="1"/>
  <c r="AJ459" i="2" s="1"/>
  <c r="AJ460" i="2" a="1"/>
  <c r="AJ460" i="2" s="1"/>
  <c r="AJ461" i="2" a="1"/>
  <c r="AJ461" i="2" s="1"/>
  <c r="AJ462" i="2" a="1"/>
  <c r="AJ462" i="2" s="1"/>
  <c r="AJ463" i="2" a="1"/>
  <c r="AJ463" i="2" s="1"/>
  <c r="AJ464" i="2" a="1"/>
  <c r="AJ464" i="2" s="1"/>
  <c r="AJ465" i="2" a="1"/>
  <c r="AJ465" i="2" s="1"/>
  <c r="AJ466" i="2" a="1"/>
  <c r="AJ466" i="2" s="1"/>
  <c r="AJ467" i="2" a="1"/>
  <c r="AJ467" i="2" s="1"/>
  <c r="AJ468" i="2" a="1"/>
  <c r="AJ468" i="2" s="1"/>
  <c r="AJ469" i="2" a="1"/>
  <c r="AJ469" i="2" s="1"/>
  <c r="AJ470" i="2" a="1"/>
  <c r="AJ470" i="2" s="1"/>
  <c r="AJ471" i="2" a="1"/>
  <c r="AJ471" i="2" s="1"/>
  <c r="AJ472" i="2" a="1"/>
  <c r="AJ472" i="2" s="1"/>
  <c r="AJ473" i="2" a="1"/>
  <c r="AJ473" i="2" s="1"/>
  <c r="AJ474" i="2" a="1"/>
  <c r="AJ474" i="2" s="1"/>
  <c r="AJ475" i="2" a="1"/>
  <c r="AJ475" i="2" s="1"/>
  <c r="AJ476" i="2" a="1"/>
  <c r="AJ476" i="2" s="1"/>
  <c r="AJ477" i="2" a="1"/>
  <c r="AJ477" i="2" s="1"/>
  <c r="AJ478" i="2" a="1"/>
  <c r="AJ478" i="2" s="1"/>
  <c r="AJ479" i="2" a="1"/>
  <c r="AJ479" i="2" s="1"/>
  <c r="AJ480" i="2" a="1"/>
  <c r="AJ480" i="2" s="1"/>
  <c r="AJ481" i="2" a="1"/>
  <c r="AJ481" i="2" s="1"/>
  <c r="AJ482" i="2" a="1"/>
  <c r="AJ482" i="2" s="1"/>
  <c r="AJ483" i="2" a="1"/>
  <c r="AJ483" i="2" s="1"/>
  <c r="AJ484" i="2" a="1"/>
  <c r="AJ484" i="2" s="1"/>
  <c r="AJ485" i="2" a="1"/>
  <c r="AJ485" i="2" s="1"/>
  <c r="AJ486" i="2" a="1"/>
  <c r="AJ486" i="2" s="1"/>
  <c r="AJ487" i="2" a="1"/>
  <c r="AJ487" i="2" s="1"/>
  <c r="AJ488" i="2" a="1"/>
  <c r="AJ488" i="2" s="1"/>
  <c r="AJ489" i="2" a="1"/>
  <c r="AJ489" i="2" s="1"/>
  <c r="AJ490" i="2" a="1"/>
  <c r="AJ490" i="2" s="1"/>
  <c r="AJ491" i="2" a="1"/>
  <c r="AJ491" i="2" s="1"/>
  <c r="AJ492" i="2" a="1"/>
  <c r="AJ492" i="2" s="1"/>
  <c r="AJ493" i="2" a="1"/>
  <c r="AJ493" i="2" s="1"/>
  <c r="AJ494" i="2" a="1"/>
  <c r="AJ494" i="2" s="1"/>
  <c r="AJ495" i="2" a="1"/>
  <c r="AJ495" i="2" s="1"/>
  <c r="AJ496" i="2" a="1"/>
  <c r="AJ496" i="2" s="1"/>
  <c r="AJ497" i="2" a="1"/>
  <c r="AJ497" i="2" s="1"/>
  <c r="AJ498" i="2" a="1"/>
  <c r="AJ498" i="2" s="1"/>
  <c r="AJ499" i="2" a="1"/>
  <c r="AJ499" i="2" s="1"/>
  <c r="AJ500" i="2" a="1"/>
  <c r="AJ500" i="2" s="1"/>
  <c r="AJ501" i="2" a="1"/>
  <c r="AJ501" i="2" s="1"/>
  <c r="AJ502" i="2" a="1"/>
  <c r="AJ502" i="2" s="1"/>
  <c r="AJ503" i="2" a="1"/>
  <c r="AJ503" i="2" s="1"/>
  <c r="AJ504" i="2" a="1"/>
  <c r="AJ504" i="2" s="1"/>
  <c r="AJ505" i="2" a="1"/>
  <c r="AJ505" i="2" s="1"/>
  <c r="AJ506" i="2" a="1"/>
  <c r="AJ506" i="2" s="1"/>
  <c r="AJ507" i="2" a="1"/>
  <c r="AJ507" i="2" s="1"/>
  <c r="AJ508" i="2" a="1"/>
  <c r="AJ508" i="2" s="1"/>
  <c r="AJ509" i="2" a="1"/>
  <c r="AJ509" i="2" s="1"/>
  <c r="AJ510" i="2" a="1"/>
  <c r="AJ510" i="2" s="1"/>
  <c r="AJ511" i="2" a="1"/>
  <c r="AJ511" i="2" s="1"/>
  <c r="AJ512" i="2" a="1"/>
  <c r="AJ512" i="2" s="1"/>
  <c r="AJ513" i="2" a="1"/>
  <c r="AJ513" i="2" s="1"/>
  <c r="AJ514" i="2" a="1"/>
  <c r="AJ514" i="2" s="1"/>
  <c r="AJ515" i="2" a="1"/>
  <c r="AJ515" i="2" s="1"/>
  <c r="AJ516" i="2" a="1"/>
  <c r="AJ516" i="2" s="1"/>
  <c r="AJ517" i="2" a="1"/>
  <c r="AJ517" i="2" s="1"/>
  <c r="AJ518" i="2" a="1"/>
  <c r="AJ518" i="2" s="1"/>
  <c r="AJ519" i="2" a="1"/>
  <c r="AJ519" i="2" s="1"/>
  <c r="AJ520" i="2" a="1"/>
  <c r="AJ520" i="2" s="1"/>
  <c r="AJ521" i="2" a="1"/>
  <c r="AJ521" i="2" s="1"/>
  <c r="AJ522" i="2" a="1"/>
  <c r="AJ522" i="2" s="1"/>
  <c r="AJ523" i="2" a="1"/>
  <c r="AJ523" i="2" s="1"/>
  <c r="AJ524" i="2" a="1"/>
  <c r="AJ524" i="2" s="1"/>
  <c r="AJ525" i="2" a="1"/>
  <c r="AJ525" i="2" s="1"/>
  <c r="AJ526" i="2" a="1"/>
  <c r="AJ526" i="2" s="1"/>
  <c r="AJ527" i="2" a="1"/>
  <c r="AJ527" i="2" s="1"/>
  <c r="AJ528" i="2" a="1"/>
  <c r="AJ528" i="2" s="1"/>
  <c r="AJ529" i="2" a="1"/>
  <c r="AJ529" i="2" s="1"/>
  <c r="AJ530" i="2" a="1"/>
  <c r="AJ530" i="2" s="1"/>
  <c r="AJ531" i="2" a="1"/>
  <c r="AJ531" i="2" s="1"/>
  <c r="AJ532" i="2" a="1"/>
  <c r="AJ532" i="2" s="1"/>
  <c r="AJ533" i="2" a="1"/>
  <c r="AJ533" i="2" s="1"/>
  <c r="AJ534" i="2" a="1"/>
  <c r="AJ534" i="2" s="1"/>
  <c r="AJ535" i="2" a="1"/>
  <c r="AJ535" i="2" s="1"/>
  <c r="AJ536" i="2" a="1"/>
  <c r="AJ536" i="2" s="1"/>
  <c r="AJ537" i="2" a="1"/>
  <c r="AJ537" i="2" s="1"/>
  <c r="AJ538" i="2" a="1"/>
  <c r="AJ538" i="2" s="1"/>
  <c r="AJ539" i="2" a="1"/>
  <c r="AJ539" i="2" s="1"/>
  <c r="AJ540" i="2" a="1"/>
  <c r="AJ540" i="2" s="1"/>
  <c r="AJ541" i="2" a="1"/>
  <c r="AJ541" i="2" s="1"/>
  <c r="AJ542" i="2" a="1"/>
  <c r="AJ542" i="2" s="1"/>
  <c r="AJ543" i="2" a="1"/>
  <c r="AJ543" i="2" s="1"/>
  <c r="AJ544" i="2" a="1"/>
  <c r="AJ544" i="2" s="1"/>
  <c r="AJ545" i="2" a="1"/>
  <c r="AJ545" i="2" s="1"/>
  <c r="AJ546" i="2" a="1"/>
  <c r="AJ546" i="2" s="1"/>
  <c r="AJ547" i="2" a="1"/>
  <c r="AJ547" i="2" s="1"/>
  <c r="AJ548" i="2" a="1"/>
  <c r="AJ548" i="2" s="1"/>
  <c r="AJ549" i="2" a="1"/>
  <c r="AJ549" i="2" s="1"/>
  <c r="AJ550" i="2" a="1"/>
  <c r="AJ550" i="2" s="1"/>
  <c r="AJ551" i="2" a="1"/>
  <c r="AJ551" i="2" s="1"/>
  <c r="AJ552" i="2" a="1"/>
  <c r="AJ552" i="2" s="1"/>
  <c r="AJ553" i="2" a="1"/>
  <c r="AJ553" i="2" s="1"/>
  <c r="AJ554" i="2" a="1"/>
  <c r="AJ554" i="2" s="1"/>
  <c r="AJ555" i="2" a="1"/>
  <c r="AJ555" i="2" s="1"/>
  <c r="AJ556" i="2" a="1"/>
  <c r="AJ556" i="2" s="1"/>
  <c r="AJ557" i="2" a="1"/>
  <c r="AJ557" i="2" s="1"/>
  <c r="AJ558" i="2" a="1"/>
  <c r="AJ558" i="2" s="1"/>
  <c r="AJ559" i="2" a="1"/>
  <c r="AJ559" i="2" s="1"/>
  <c r="AJ560" i="2" a="1"/>
  <c r="AJ560" i="2" s="1"/>
  <c r="AJ561" i="2" a="1"/>
  <c r="AJ561" i="2" s="1"/>
  <c r="AJ562" i="2" a="1"/>
  <c r="AJ562" i="2" s="1"/>
  <c r="AJ563" i="2" a="1"/>
  <c r="AJ563" i="2" s="1"/>
  <c r="AJ564" i="2" a="1"/>
  <c r="AJ564" i="2" s="1"/>
  <c r="AJ565" i="2" a="1"/>
  <c r="AJ565" i="2" s="1"/>
  <c r="AJ566" i="2" a="1"/>
  <c r="AJ566" i="2" s="1"/>
  <c r="AJ567" i="2" a="1"/>
  <c r="AJ567" i="2" s="1"/>
  <c r="AJ568" i="2" a="1"/>
  <c r="AJ568" i="2" s="1"/>
  <c r="AJ569" i="2" a="1"/>
  <c r="AJ569" i="2" s="1"/>
  <c r="AJ570" i="2" a="1"/>
  <c r="AJ570" i="2" s="1"/>
  <c r="AJ571" i="2" a="1"/>
  <c r="AJ571" i="2" s="1"/>
  <c r="AJ572" i="2" a="1"/>
  <c r="AJ572" i="2" s="1"/>
  <c r="AJ573" i="2" a="1"/>
  <c r="AJ573" i="2" s="1"/>
  <c r="AJ574" i="2" a="1"/>
  <c r="AJ574" i="2" s="1"/>
  <c r="AJ575" i="2" a="1"/>
  <c r="AJ575" i="2" s="1"/>
  <c r="AJ576" i="2" a="1"/>
  <c r="AJ576" i="2" s="1"/>
  <c r="AJ577" i="2" a="1"/>
  <c r="AJ577" i="2" s="1"/>
  <c r="AJ578" i="2" a="1"/>
  <c r="AJ578" i="2" s="1"/>
  <c r="AJ579" i="2" a="1"/>
  <c r="AJ579" i="2" s="1"/>
  <c r="AJ580" i="2" a="1"/>
  <c r="AJ580" i="2" s="1"/>
  <c r="AJ581" i="2" a="1"/>
  <c r="AJ581" i="2" s="1"/>
  <c r="AJ582" i="2" a="1"/>
  <c r="AJ582" i="2" s="1"/>
  <c r="AJ583" i="2" a="1"/>
  <c r="AJ583" i="2" s="1"/>
  <c r="AJ584" i="2" a="1"/>
  <c r="AJ584" i="2" s="1"/>
  <c r="AJ585" i="2" a="1"/>
  <c r="AJ585" i="2" s="1"/>
  <c r="AJ586" i="2" a="1"/>
  <c r="AJ586" i="2" s="1"/>
  <c r="AJ587" i="2" a="1"/>
  <c r="AJ587" i="2" s="1"/>
  <c r="AJ588" i="2" a="1"/>
  <c r="AJ588" i="2" s="1"/>
  <c r="AJ589" i="2" a="1"/>
  <c r="AJ589" i="2" s="1"/>
  <c r="AJ590" i="2" a="1"/>
  <c r="AJ590" i="2" s="1"/>
  <c r="AJ591" i="2" a="1"/>
  <c r="AJ591" i="2" s="1"/>
  <c r="AJ592" i="2" a="1"/>
  <c r="AJ592" i="2" s="1"/>
  <c r="AJ593" i="2" a="1"/>
  <c r="AJ593" i="2" s="1"/>
  <c r="AJ594" i="2" a="1"/>
  <c r="AJ594" i="2" s="1"/>
  <c r="AJ595" i="2" a="1"/>
  <c r="AJ595" i="2" s="1"/>
  <c r="AJ596" i="2" a="1"/>
  <c r="AJ596" i="2" s="1"/>
  <c r="AJ597" i="2" a="1"/>
  <c r="AJ597" i="2" s="1"/>
  <c r="AJ598" i="2" a="1"/>
  <c r="AJ598" i="2" s="1"/>
  <c r="AJ599" i="2" a="1"/>
  <c r="AJ599" i="2" s="1"/>
  <c r="AJ600" i="2" a="1"/>
  <c r="AJ600" i="2" s="1"/>
  <c r="AJ601" i="2" a="1"/>
  <c r="AJ601" i="2" s="1"/>
  <c r="AJ602" i="2" a="1"/>
  <c r="AJ602" i="2" s="1"/>
  <c r="AJ603" i="2" a="1"/>
  <c r="AJ603" i="2" s="1"/>
  <c r="AJ604" i="2" a="1"/>
  <c r="AJ604" i="2" s="1"/>
  <c r="AJ605" i="2" a="1"/>
  <c r="AJ605" i="2" s="1"/>
  <c r="AJ606" i="2" a="1"/>
  <c r="AJ606" i="2" s="1"/>
  <c r="AJ607" i="2" a="1"/>
  <c r="AJ607" i="2" s="1"/>
  <c r="AJ608" i="2" a="1"/>
  <c r="AJ608" i="2" s="1"/>
  <c r="AJ609" i="2" a="1"/>
  <c r="AJ609" i="2" s="1"/>
  <c r="AJ610" i="2" a="1"/>
  <c r="AJ610" i="2" s="1"/>
  <c r="AJ611" i="2" a="1"/>
  <c r="AJ611" i="2" s="1"/>
  <c r="AJ612" i="2" a="1"/>
  <c r="AJ612" i="2" s="1"/>
  <c r="AJ613" i="2" a="1"/>
  <c r="AJ613" i="2" s="1"/>
  <c r="AJ614" i="2" a="1"/>
  <c r="AJ614" i="2" s="1"/>
  <c r="AJ615" i="2" a="1"/>
  <c r="AJ615" i="2" s="1"/>
  <c r="AJ616" i="2" a="1"/>
  <c r="AJ616" i="2" s="1"/>
  <c r="AJ617" i="2" a="1"/>
  <c r="AJ617" i="2" s="1"/>
  <c r="AJ618" i="2" a="1"/>
  <c r="AJ618" i="2" s="1"/>
  <c r="AJ619" i="2" a="1"/>
  <c r="AJ619" i="2" s="1"/>
  <c r="AJ620" i="2" a="1"/>
  <c r="AJ620" i="2" s="1"/>
  <c r="AJ621" i="2" a="1"/>
  <c r="AJ621" i="2" s="1"/>
  <c r="AJ622" i="2" a="1"/>
  <c r="AJ622" i="2" s="1"/>
  <c r="AJ623" i="2" a="1"/>
  <c r="AJ623" i="2" s="1"/>
  <c r="AJ624" i="2" a="1"/>
  <c r="AJ624" i="2" s="1"/>
  <c r="AJ625" i="2" a="1"/>
  <c r="AJ625" i="2" s="1"/>
  <c r="AJ626" i="2" a="1"/>
  <c r="AJ626" i="2" s="1"/>
  <c r="AJ627" i="2" a="1"/>
  <c r="AJ627" i="2" s="1"/>
  <c r="AJ628" i="2" a="1"/>
  <c r="AJ628" i="2" s="1"/>
  <c r="AJ629" i="2" a="1"/>
  <c r="AJ629" i="2" s="1"/>
  <c r="AJ630" i="2" a="1"/>
  <c r="AJ630" i="2" s="1"/>
  <c r="AJ631" i="2" a="1"/>
  <c r="AJ631" i="2" s="1"/>
  <c r="AJ632" i="2" a="1"/>
  <c r="AJ632" i="2" s="1"/>
  <c r="AJ633" i="2" a="1"/>
  <c r="AJ633" i="2" s="1"/>
  <c r="AJ634" i="2" a="1"/>
  <c r="AJ634" i="2" s="1"/>
  <c r="AJ635" i="2" a="1"/>
  <c r="AJ635" i="2" s="1"/>
  <c r="AJ636" i="2" a="1"/>
  <c r="AJ636" i="2" s="1"/>
  <c r="AJ637" i="2" a="1"/>
  <c r="AJ637" i="2" s="1"/>
  <c r="AJ638" i="2" a="1"/>
  <c r="AJ638" i="2" s="1"/>
  <c r="AJ639" i="2" a="1"/>
  <c r="AJ639" i="2" s="1"/>
  <c r="AJ640" i="2" a="1"/>
  <c r="AJ640" i="2" s="1"/>
  <c r="AJ641" i="2" a="1"/>
  <c r="AJ641" i="2" s="1"/>
  <c r="AJ642" i="2" a="1"/>
  <c r="AJ642" i="2" s="1"/>
  <c r="AJ643" i="2" a="1"/>
  <c r="AJ643" i="2" s="1"/>
  <c r="AJ644" i="2" a="1"/>
  <c r="AJ644" i="2" s="1"/>
  <c r="AJ645" i="2" a="1"/>
  <c r="AJ645" i="2" s="1"/>
  <c r="AJ646" i="2" a="1"/>
  <c r="AJ646" i="2" s="1"/>
  <c r="AJ647" i="2" a="1"/>
  <c r="AJ647" i="2" s="1"/>
  <c r="AJ648" i="2" a="1"/>
  <c r="AJ648" i="2" s="1"/>
  <c r="AJ649" i="2" a="1"/>
  <c r="AJ649" i="2" s="1"/>
  <c r="AJ650" i="2" a="1"/>
  <c r="AJ650" i="2" s="1"/>
  <c r="AJ651" i="2" a="1"/>
  <c r="AJ651" i="2" s="1"/>
  <c r="AJ652" i="2" a="1"/>
  <c r="AJ652" i="2" s="1"/>
  <c r="AJ653" i="2" a="1"/>
  <c r="AJ653" i="2" s="1"/>
  <c r="AJ654" i="2" a="1"/>
  <c r="AJ654" i="2" s="1"/>
  <c r="AJ655" i="2" a="1"/>
  <c r="AJ655" i="2" s="1"/>
  <c r="AJ656" i="2" a="1"/>
  <c r="AJ656" i="2" s="1"/>
  <c r="AJ657" i="2" a="1"/>
  <c r="AJ657" i="2" s="1"/>
  <c r="AJ658" i="2" a="1"/>
  <c r="AJ658" i="2" s="1"/>
  <c r="AJ659" i="2" a="1"/>
  <c r="AJ659" i="2" s="1"/>
  <c r="AJ660" i="2" a="1"/>
  <c r="AJ660" i="2" s="1"/>
  <c r="AJ661" i="2" a="1"/>
  <c r="AJ661" i="2" s="1"/>
  <c r="AJ662" i="2" a="1"/>
  <c r="AJ662" i="2" s="1"/>
  <c r="AJ663" i="2" a="1"/>
  <c r="AJ663" i="2" s="1"/>
  <c r="AJ664" i="2" a="1"/>
  <c r="AJ664" i="2" s="1"/>
  <c r="AJ665" i="2" a="1"/>
  <c r="AJ665" i="2" s="1"/>
  <c r="AJ666" i="2" a="1"/>
  <c r="AJ666" i="2" s="1"/>
  <c r="AJ667" i="2" a="1"/>
  <c r="AJ667" i="2" s="1"/>
  <c r="AJ668" i="2" a="1"/>
  <c r="AJ668" i="2" s="1"/>
  <c r="AJ669" i="2" a="1"/>
  <c r="AJ669" i="2" s="1"/>
  <c r="AJ670" i="2" a="1"/>
  <c r="AJ670" i="2" s="1"/>
  <c r="AJ671" i="2" a="1"/>
  <c r="AJ671" i="2" s="1"/>
  <c r="AJ672" i="2" a="1"/>
  <c r="AJ672" i="2" s="1"/>
  <c r="AJ673" i="2" a="1"/>
  <c r="AJ673" i="2" s="1"/>
  <c r="AJ674" i="2" a="1"/>
  <c r="AJ674" i="2" s="1"/>
  <c r="AJ675" i="2" a="1"/>
  <c r="AJ675" i="2" s="1"/>
  <c r="AJ676" i="2" a="1"/>
  <c r="AJ676" i="2" s="1"/>
  <c r="AJ677" i="2" a="1"/>
  <c r="AJ677" i="2" s="1"/>
  <c r="AJ678" i="2" a="1"/>
  <c r="AJ678" i="2" s="1"/>
  <c r="AJ679" i="2" a="1"/>
  <c r="AJ679" i="2" s="1"/>
  <c r="AJ680" i="2" a="1"/>
  <c r="AJ680" i="2" s="1"/>
  <c r="AJ681" i="2" a="1"/>
  <c r="AJ681" i="2" s="1"/>
  <c r="AJ682" i="2" a="1"/>
  <c r="AJ682" i="2" s="1"/>
  <c r="AJ683" i="2" a="1"/>
  <c r="AJ683" i="2" s="1"/>
  <c r="AJ684" i="2" a="1"/>
  <c r="AJ684" i="2" s="1"/>
  <c r="AJ685" i="2" a="1"/>
  <c r="AJ685" i="2" s="1"/>
  <c r="AJ686" i="2" a="1"/>
  <c r="AJ686" i="2" s="1"/>
  <c r="AJ687" i="2" a="1"/>
  <c r="AJ687" i="2" s="1"/>
  <c r="AJ688" i="2" a="1"/>
  <c r="AJ688" i="2" s="1"/>
  <c r="AJ689" i="2" a="1"/>
  <c r="AJ689" i="2" s="1"/>
  <c r="AJ690" i="2" a="1"/>
  <c r="AJ690" i="2" s="1"/>
  <c r="AJ691" i="2" a="1"/>
  <c r="AJ691" i="2" s="1"/>
  <c r="AJ692" i="2" a="1"/>
  <c r="AJ692" i="2" s="1"/>
  <c r="AJ693" i="2" a="1"/>
  <c r="AJ693" i="2" s="1"/>
  <c r="AJ694" i="2" a="1"/>
  <c r="AJ694" i="2" s="1"/>
  <c r="AJ695" i="2" a="1"/>
  <c r="AJ695" i="2" s="1"/>
  <c r="AJ696" i="2" a="1"/>
  <c r="AJ696" i="2" s="1"/>
  <c r="AJ697" i="2" a="1"/>
  <c r="AJ697" i="2" s="1"/>
  <c r="AJ698" i="2" a="1"/>
  <c r="AJ698" i="2" s="1"/>
  <c r="AJ699" i="2" a="1"/>
  <c r="AJ699" i="2" s="1"/>
  <c r="AJ700" i="2" a="1"/>
  <c r="AJ700" i="2" s="1"/>
  <c r="AJ701" i="2" a="1"/>
  <c r="AJ701" i="2" s="1"/>
  <c r="AJ702" i="2" a="1"/>
  <c r="AJ702" i="2" s="1"/>
  <c r="AJ703" i="2" a="1"/>
  <c r="AJ703" i="2" s="1"/>
  <c r="AJ704" i="2" a="1"/>
  <c r="AJ704" i="2" s="1"/>
  <c r="AJ705" i="2" a="1"/>
  <c r="AJ705" i="2" s="1"/>
  <c r="AJ706" i="2" a="1"/>
  <c r="AJ706" i="2" s="1"/>
  <c r="AJ707" i="2" a="1"/>
  <c r="AJ707" i="2" s="1"/>
  <c r="AJ708" i="2" a="1"/>
  <c r="AJ708" i="2" s="1"/>
  <c r="AJ709" i="2" a="1"/>
  <c r="AJ709" i="2" s="1"/>
  <c r="AJ710" i="2" a="1"/>
  <c r="AJ710" i="2" s="1"/>
  <c r="AJ711" i="2" a="1"/>
  <c r="AJ711" i="2" s="1"/>
  <c r="AJ712" i="2" a="1"/>
  <c r="AJ712" i="2" s="1"/>
  <c r="AJ713" i="2" a="1"/>
  <c r="AJ713" i="2" s="1"/>
  <c r="AJ714" i="2" a="1"/>
  <c r="AJ714" i="2" s="1"/>
  <c r="AJ715" i="2" a="1"/>
  <c r="AJ715" i="2" s="1"/>
  <c r="AJ716" i="2" a="1"/>
  <c r="AJ716" i="2" s="1"/>
  <c r="AJ717" i="2" a="1"/>
  <c r="AJ717" i="2" s="1"/>
  <c r="AJ718" i="2" a="1"/>
  <c r="AJ718" i="2" s="1"/>
  <c r="AJ719" i="2" a="1"/>
  <c r="AJ719" i="2" s="1"/>
  <c r="AJ720" i="2" a="1"/>
  <c r="AJ720" i="2" s="1"/>
  <c r="AJ721" i="2" a="1"/>
  <c r="AJ721" i="2" s="1"/>
  <c r="AJ722" i="2" a="1"/>
  <c r="AJ722" i="2" s="1"/>
  <c r="AJ723" i="2" a="1"/>
  <c r="AJ723" i="2" s="1"/>
  <c r="AJ724" i="2" a="1"/>
  <c r="AJ724" i="2" s="1"/>
  <c r="AJ725" i="2" a="1"/>
  <c r="AJ725" i="2" s="1"/>
  <c r="AJ726" i="2" a="1"/>
  <c r="AJ726" i="2" s="1"/>
  <c r="AJ727" i="2" a="1"/>
  <c r="AJ727" i="2" s="1"/>
  <c r="AJ728" i="2" a="1"/>
  <c r="AJ728" i="2" s="1"/>
  <c r="AJ729" i="2" a="1"/>
  <c r="AJ729" i="2" s="1"/>
  <c r="AJ730" i="2" a="1"/>
  <c r="AJ730" i="2" s="1"/>
  <c r="AJ731" i="2" a="1"/>
  <c r="AJ731" i="2" s="1"/>
  <c r="AJ732" i="2" a="1"/>
  <c r="AJ732" i="2" s="1"/>
  <c r="AJ733" i="2" a="1"/>
  <c r="AJ733" i="2" s="1"/>
  <c r="AJ734" i="2" a="1"/>
  <c r="AJ734" i="2" s="1"/>
  <c r="AJ735" i="2" a="1"/>
  <c r="AJ735" i="2" s="1"/>
  <c r="AJ736" i="2" a="1"/>
  <c r="AJ736" i="2" s="1"/>
  <c r="AJ737" i="2" a="1"/>
  <c r="AJ737" i="2" s="1"/>
  <c r="AJ738" i="2" a="1"/>
  <c r="AJ738" i="2" s="1"/>
  <c r="AJ739" i="2" a="1"/>
  <c r="AJ739" i="2" s="1"/>
  <c r="AJ740" i="2" a="1"/>
  <c r="AJ740" i="2" s="1"/>
  <c r="AJ741" i="2" a="1"/>
  <c r="AJ741" i="2" s="1"/>
  <c r="AJ742" i="2" a="1"/>
  <c r="AJ742" i="2" s="1"/>
  <c r="AJ743" i="2" a="1"/>
  <c r="AJ743" i="2" s="1"/>
  <c r="AJ744" i="2" a="1"/>
  <c r="AJ744" i="2" s="1"/>
  <c r="AJ745" i="2" a="1"/>
  <c r="AJ745" i="2" s="1"/>
  <c r="AJ746" i="2" a="1"/>
  <c r="AJ746" i="2" s="1"/>
  <c r="AJ747" i="2" a="1"/>
  <c r="AJ747" i="2" s="1"/>
  <c r="AJ748" i="2" a="1"/>
  <c r="AJ748" i="2" s="1"/>
  <c r="AJ749" i="2" a="1"/>
  <c r="AJ749" i="2" s="1"/>
  <c r="AJ750" i="2" a="1"/>
  <c r="AJ750" i="2" s="1"/>
  <c r="AJ751" i="2" a="1"/>
  <c r="AJ751" i="2" s="1"/>
  <c r="AJ752" i="2" a="1"/>
  <c r="AJ752" i="2" s="1"/>
  <c r="AJ753" i="2" a="1"/>
  <c r="AJ753" i="2" s="1"/>
  <c r="AJ754" i="2" a="1"/>
  <c r="AJ754" i="2" s="1"/>
  <c r="AJ755" i="2" a="1"/>
  <c r="AJ755" i="2" s="1"/>
  <c r="AJ756" i="2" a="1"/>
  <c r="AJ756" i="2" s="1"/>
  <c r="AJ757" i="2" a="1"/>
  <c r="AJ757" i="2" s="1"/>
  <c r="AJ758" i="2" a="1"/>
  <c r="AJ758" i="2" s="1"/>
  <c r="AJ759" i="2" a="1"/>
  <c r="AJ759" i="2" s="1"/>
  <c r="AJ760" i="2" a="1"/>
  <c r="AJ760" i="2" s="1"/>
  <c r="AJ761" i="2" a="1"/>
  <c r="AJ761" i="2" s="1"/>
  <c r="AJ762" i="2" a="1"/>
  <c r="AJ762" i="2" s="1"/>
  <c r="AJ763" i="2" a="1"/>
  <c r="AJ763" i="2" s="1"/>
  <c r="AJ764" i="2" a="1"/>
  <c r="AJ764" i="2" s="1"/>
  <c r="AJ765" i="2" a="1"/>
  <c r="AJ765" i="2" s="1"/>
  <c r="AJ766" i="2" a="1"/>
  <c r="AJ766" i="2" s="1"/>
  <c r="AJ767" i="2" a="1"/>
  <c r="AJ767" i="2" s="1"/>
  <c r="AJ768" i="2" a="1"/>
  <c r="AJ768" i="2" s="1"/>
  <c r="AJ769" i="2" a="1"/>
  <c r="AJ769" i="2" s="1"/>
  <c r="AJ770" i="2" a="1"/>
  <c r="AJ770" i="2" s="1"/>
  <c r="AJ771" i="2" a="1"/>
  <c r="AJ771" i="2" s="1"/>
  <c r="AJ772" i="2" a="1"/>
  <c r="AJ772" i="2" s="1"/>
  <c r="AJ773" i="2" a="1"/>
  <c r="AJ773" i="2" s="1"/>
  <c r="AJ774" i="2" a="1"/>
  <c r="AJ774" i="2" s="1"/>
  <c r="AJ775" i="2" a="1"/>
  <c r="AJ775" i="2" s="1"/>
  <c r="AJ776" i="2" a="1"/>
  <c r="AJ776" i="2" s="1"/>
  <c r="AJ777" i="2" a="1"/>
  <c r="AJ777" i="2" s="1"/>
  <c r="AJ778" i="2" a="1"/>
  <c r="AJ778" i="2" s="1"/>
  <c r="AJ779" i="2" a="1"/>
  <c r="AJ779" i="2" s="1"/>
  <c r="AJ780" i="2" a="1"/>
  <c r="AJ780" i="2" s="1"/>
  <c r="AJ781" i="2" a="1"/>
  <c r="AJ781" i="2" s="1"/>
  <c r="AJ782" i="2" a="1"/>
  <c r="AJ782" i="2" s="1"/>
  <c r="AJ783" i="2" a="1"/>
  <c r="AJ783" i="2" s="1"/>
  <c r="AJ784" i="2" a="1"/>
  <c r="AJ784" i="2" s="1"/>
  <c r="AJ785" i="2" a="1"/>
  <c r="AJ785" i="2" s="1"/>
  <c r="AJ786" i="2" a="1"/>
  <c r="AJ786" i="2" s="1"/>
  <c r="AJ787" i="2" a="1"/>
  <c r="AJ787" i="2" s="1"/>
  <c r="AJ788" i="2" a="1"/>
  <c r="AJ788" i="2" s="1"/>
  <c r="AJ789" i="2" a="1"/>
  <c r="AJ789" i="2" s="1"/>
  <c r="AJ790" i="2" a="1"/>
  <c r="AJ790" i="2" s="1"/>
  <c r="AJ791" i="2" a="1"/>
  <c r="AJ791" i="2" s="1"/>
  <c r="AJ792" i="2" a="1"/>
  <c r="AJ792" i="2" s="1"/>
  <c r="AJ793" i="2" a="1"/>
  <c r="AJ793" i="2" s="1"/>
  <c r="AJ794" i="2" a="1"/>
  <c r="AJ794" i="2" s="1"/>
  <c r="AJ795" i="2" a="1"/>
  <c r="AJ795" i="2" s="1"/>
  <c r="AJ796" i="2" a="1"/>
  <c r="AJ796" i="2" s="1"/>
  <c r="AJ797" i="2" a="1"/>
  <c r="AJ797" i="2" s="1"/>
  <c r="AJ798" i="2" a="1"/>
  <c r="AJ798" i="2" s="1"/>
  <c r="AJ799" i="2" a="1"/>
  <c r="AJ799" i="2" s="1"/>
  <c r="AJ800" i="2" a="1"/>
  <c r="AJ800" i="2" s="1"/>
  <c r="AJ801" i="2" a="1"/>
  <c r="AJ801" i="2" s="1"/>
  <c r="AJ802" i="2" a="1"/>
  <c r="AJ802" i="2" s="1"/>
  <c r="AJ803" i="2" a="1"/>
  <c r="AJ803" i="2" s="1"/>
  <c r="AJ804" i="2" a="1"/>
  <c r="AJ804" i="2" s="1"/>
  <c r="AJ805" i="2" a="1"/>
  <c r="AJ805" i="2" s="1"/>
  <c r="AJ806" i="2" a="1"/>
  <c r="AJ806" i="2" s="1"/>
  <c r="AJ807" i="2" a="1"/>
  <c r="AJ807" i="2" s="1"/>
  <c r="AJ808" i="2" a="1"/>
  <c r="AJ808" i="2" s="1"/>
  <c r="AJ809" i="2" a="1"/>
  <c r="AJ809" i="2" s="1"/>
  <c r="AJ810" i="2" a="1"/>
  <c r="AJ810" i="2" s="1"/>
  <c r="AJ811" i="2" a="1"/>
  <c r="AJ811" i="2" s="1"/>
  <c r="AJ812" i="2" a="1"/>
  <c r="AJ812" i="2" s="1"/>
  <c r="AJ813" i="2" a="1"/>
  <c r="AJ813" i="2" s="1"/>
  <c r="AJ814" i="2" a="1"/>
  <c r="AJ814" i="2" s="1"/>
  <c r="AJ815" i="2" a="1"/>
  <c r="AJ815" i="2" s="1"/>
  <c r="AJ816" i="2" a="1"/>
  <c r="AJ816" i="2" s="1"/>
  <c r="AJ817" i="2" a="1"/>
  <c r="AJ817" i="2" s="1"/>
  <c r="AJ818" i="2" a="1"/>
  <c r="AJ818" i="2" s="1"/>
  <c r="AJ819" i="2" a="1"/>
  <c r="AJ819" i="2" s="1"/>
  <c r="AJ820" i="2" a="1"/>
  <c r="AJ820" i="2" s="1"/>
  <c r="AJ821" i="2" a="1"/>
  <c r="AJ821" i="2" s="1"/>
  <c r="AJ822" i="2" a="1"/>
  <c r="AJ822" i="2" s="1"/>
  <c r="AJ823" i="2" a="1"/>
  <c r="AJ823" i="2" s="1"/>
  <c r="AJ824" i="2" a="1"/>
  <c r="AJ824" i="2" s="1"/>
  <c r="AJ825" i="2" a="1"/>
  <c r="AJ825" i="2" s="1"/>
  <c r="AJ826" i="2" a="1"/>
  <c r="AJ826" i="2" s="1"/>
  <c r="AJ827" i="2" a="1"/>
  <c r="AJ827" i="2" s="1"/>
  <c r="AJ828" i="2" a="1"/>
  <c r="AJ828" i="2" s="1"/>
  <c r="AJ829" i="2" a="1"/>
  <c r="AJ829" i="2" s="1"/>
  <c r="AJ830" i="2" a="1"/>
  <c r="AJ830" i="2" s="1"/>
  <c r="AJ831" i="2" a="1"/>
  <c r="AJ831" i="2" s="1"/>
  <c r="AJ832" i="2" a="1"/>
  <c r="AJ832" i="2" s="1"/>
  <c r="AJ833" i="2" a="1"/>
  <c r="AJ833" i="2" s="1"/>
  <c r="AJ834" i="2" a="1"/>
  <c r="AJ834" i="2" s="1"/>
  <c r="AJ835" i="2" a="1"/>
  <c r="AJ835" i="2" s="1"/>
  <c r="AJ836" i="2" a="1"/>
  <c r="AJ836" i="2" s="1"/>
  <c r="AJ837" i="2" a="1"/>
  <c r="AJ837" i="2" s="1"/>
  <c r="AJ838" i="2" a="1"/>
  <c r="AJ838" i="2" s="1"/>
  <c r="AJ839" i="2" a="1"/>
  <c r="AJ839" i="2" s="1"/>
  <c r="AJ840" i="2" a="1"/>
  <c r="AJ840" i="2" s="1"/>
  <c r="AJ841" i="2" a="1"/>
  <c r="AJ841" i="2" s="1"/>
  <c r="AJ842" i="2" a="1"/>
  <c r="AJ842" i="2" s="1"/>
  <c r="AJ843" i="2" a="1"/>
  <c r="AJ843" i="2" s="1"/>
  <c r="AJ844" i="2" a="1"/>
  <c r="AJ844" i="2" s="1"/>
  <c r="AJ845" i="2" a="1"/>
  <c r="AJ845" i="2" s="1"/>
  <c r="AJ846" i="2" a="1"/>
  <c r="AJ846" i="2" s="1"/>
  <c r="AJ847" i="2" a="1"/>
  <c r="AJ847" i="2" s="1"/>
  <c r="AJ848" i="2" a="1"/>
  <c r="AJ848" i="2" s="1"/>
  <c r="AJ849" i="2" a="1"/>
  <c r="AJ849" i="2" s="1"/>
  <c r="AJ850" i="2" a="1"/>
  <c r="AJ850" i="2" s="1"/>
  <c r="AJ851" i="2" a="1"/>
  <c r="AJ851" i="2" s="1"/>
  <c r="AJ852" i="2" a="1"/>
  <c r="AJ852" i="2" s="1"/>
  <c r="AJ853" i="2" a="1"/>
  <c r="AJ853" i="2" s="1"/>
  <c r="AJ854" i="2" a="1"/>
  <c r="AJ854" i="2" s="1"/>
  <c r="AJ855" i="2" a="1"/>
  <c r="AJ855" i="2" s="1"/>
  <c r="AJ856" i="2" a="1"/>
  <c r="AJ856" i="2" s="1"/>
  <c r="AJ857" i="2" a="1"/>
  <c r="AJ857" i="2" s="1"/>
  <c r="AJ858" i="2" a="1"/>
  <c r="AJ858" i="2" s="1"/>
  <c r="AJ859" i="2" a="1"/>
  <c r="AJ859" i="2" s="1"/>
  <c r="AJ860" i="2" a="1"/>
  <c r="AJ860" i="2" s="1"/>
  <c r="AJ861" i="2" a="1"/>
  <c r="AJ861" i="2" s="1"/>
  <c r="AJ862" i="2" a="1"/>
  <c r="AJ862" i="2" s="1"/>
  <c r="AJ863" i="2" a="1"/>
  <c r="AJ863" i="2" s="1"/>
  <c r="AJ864" i="2" a="1"/>
  <c r="AJ864" i="2" s="1"/>
  <c r="AJ865" i="2" a="1"/>
  <c r="AJ865" i="2" s="1"/>
  <c r="AJ866" i="2" a="1"/>
  <c r="AJ866" i="2" s="1"/>
  <c r="AJ867" i="2" a="1"/>
  <c r="AJ867" i="2" s="1"/>
  <c r="AJ868" i="2" a="1"/>
  <c r="AJ868" i="2" s="1"/>
  <c r="AJ869" i="2" a="1"/>
  <c r="AJ869" i="2" s="1"/>
  <c r="AJ870" i="2" a="1"/>
  <c r="AJ870" i="2" s="1"/>
  <c r="AJ871" i="2" a="1"/>
  <c r="AJ871" i="2" s="1"/>
  <c r="AJ872" i="2" a="1"/>
  <c r="AJ872" i="2" s="1"/>
  <c r="AJ873" i="2" a="1"/>
  <c r="AJ873" i="2" s="1"/>
  <c r="AJ874" i="2" a="1"/>
  <c r="AJ874" i="2" s="1"/>
  <c r="AJ875" i="2" a="1"/>
  <c r="AJ875" i="2" s="1"/>
  <c r="AJ876" i="2" a="1"/>
  <c r="AJ876" i="2" s="1"/>
  <c r="AJ877" i="2" a="1"/>
  <c r="AJ877" i="2" s="1"/>
  <c r="AJ878" i="2" a="1"/>
  <c r="AJ878" i="2" s="1"/>
  <c r="AJ879" i="2" a="1"/>
  <c r="AJ879" i="2" s="1"/>
  <c r="AJ880" i="2" a="1"/>
  <c r="AJ880" i="2" s="1"/>
  <c r="AJ881" i="2" a="1"/>
  <c r="AJ881" i="2" s="1"/>
  <c r="AJ882" i="2" a="1"/>
  <c r="AJ882" i="2" s="1"/>
  <c r="AJ883" i="2" a="1"/>
  <c r="AJ883" i="2" s="1"/>
  <c r="AJ884" i="2" a="1"/>
  <c r="AJ884" i="2" s="1"/>
  <c r="AJ885" i="2" a="1"/>
  <c r="AJ885" i="2" s="1"/>
  <c r="AJ886" i="2" a="1"/>
  <c r="AJ886" i="2" s="1"/>
  <c r="AJ887" i="2" a="1"/>
  <c r="AJ887" i="2" s="1"/>
  <c r="AJ888" i="2" a="1"/>
  <c r="AJ888" i="2" s="1"/>
  <c r="AJ889" i="2" a="1"/>
  <c r="AJ889" i="2" s="1"/>
  <c r="AJ890" i="2" a="1"/>
  <c r="AJ890" i="2" s="1"/>
  <c r="AJ891" i="2" a="1"/>
  <c r="AJ891" i="2" s="1"/>
  <c r="AJ892" i="2" a="1"/>
  <c r="AJ892" i="2" s="1"/>
  <c r="AJ893" i="2" a="1"/>
  <c r="AJ893" i="2" s="1"/>
  <c r="AJ894" i="2" a="1"/>
  <c r="AJ894" i="2" s="1"/>
  <c r="AJ895" i="2" a="1"/>
  <c r="AJ895" i="2" s="1"/>
  <c r="AJ896" i="2" a="1"/>
  <c r="AJ896" i="2" s="1"/>
  <c r="AJ897" i="2" a="1"/>
  <c r="AJ897" i="2" s="1"/>
  <c r="AJ898" i="2" a="1"/>
  <c r="AJ898" i="2" s="1"/>
  <c r="AJ899" i="2" a="1"/>
  <c r="AJ899" i="2" s="1"/>
  <c r="AJ900" i="2" a="1"/>
  <c r="AJ900" i="2" s="1"/>
  <c r="AJ901" i="2" a="1"/>
  <c r="AJ901" i="2" s="1"/>
  <c r="AJ902" i="2" a="1"/>
  <c r="AJ902" i="2" s="1"/>
  <c r="AJ903" i="2" a="1"/>
  <c r="AJ903" i="2" s="1"/>
  <c r="AJ904" i="2" a="1"/>
  <c r="AJ904" i="2" s="1"/>
  <c r="AJ905" i="2" a="1"/>
  <c r="AJ905" i="2" s="1"/>
  <c r="AJ906" i="2" a="1"/>
  <c r="AJ906" i="2" s="1"/>
  <c r="AJ907" i="2" a="1"/>
  <c r="AJ907" i="2" s="1"/>
  <c r="AJ908" i="2" a="1"/>
  <c r="AJ908" i="2" s="1"/>
  <c r="AJ909" i="2" a="1"/>
  <c r="AJ909" i="2" s="1"/>
  <c r="AJ910" i="2" a="1"/>
  <c r="AJ910" i="2" s="1"/>
  <c r="AJ911" i="2" a="1"/>
  <c r="AJ911" i="2" s="1"/>
  <c r="AJ912" i="2" a="1"/>
  <c r="AJ912" i="2" s="1"/>
  <c r="AJ913" i="2" a="1"/>
  <c r="AJ913" i="2" s="1"/>
  <c r="AJ914" i="2" a="1"/>
  <c r="AJ914" i="2" s="1"/>
  <c r="AJ915" i="2" a="1"/>
  <c r="AJ915" i="2" s="1"/>
  <c r="AJ916" i="2" a="1"/>
  <c r="AJ916" i="2" s="1"/>
  <c r="AJ917" i="2" a="1"/>
  <c r="AJ917" i="2" s="1"/>
  <c r="AJ918" i="2" a="1"/>
  <c r="AJ918" i="2" s="1"/>
  <c r="AJ919" i="2" a="1"/>
  <c r="AJ919" i="2" s="1"/>
  <c r="AJ920" i="2" a="1"/>
  <c r="AJ920" i="2" s="1"/>
  <c r="AJ921" i="2" a="1"/>
  <c r="AJ921" i="2" s="1"/>
  <c r="AJ922" i="2" a="1"/>
  <c r="AJ922" i="2" s="1"/>
  <c r="AJ923" i="2" a="1"/>
  <c r="AJ923" i="2" s="1"/>
  <c r="AJ924" i="2" a="1"/>
  <c r="AJ924" i="2" s="1"/>
  <c r="AJ925" i="2" a="1"/>
  <c r="AJ925" i="2" s="1"/>
  <c r="AJ926" i="2" a="1"/>
  <c r="AJ926" i="2" s="1"/>
  <c r="AJ927" i="2" a="1"/>
  <c r="AJ927" i="2" s="1"/>
  <c r="AJ928" i="2" a="1"/>
  <c r="AJ928" i="2" s="1"/>
  <c r="AJ929" i="2" a="1"/>
  <c r="AJ929" i="2" s="1"/>
  <c r="AJ930" i="2" a="1"/>
  <c r="AJ930" i="2" s="1"/>
  <c r="AJ931" i="2" a="1"/>
  <c r="AJ931" i="2" s="1"/>
  <c r="AJ932" i="2" a="1"/>
  <c r="AJ932" i="2" s="1"/>
  <c r="AJ933" i="2" a="1"/>
  <c r="AJ933" i="2" s="1"/>
  <c r="AJ934" i="2" a="1"/>
  <c r="AJ934" i="2" s="1"/>
  <c r="AJ935" i="2" a="1"/>
  <c r="AJ935" i="2" s="1"/>
  <c r="AJ936" i="2" a="1"/>
  <c r="AJ936" i="2" s="1"/>
  <c r="AJ937" i="2" a="1"/>
  <c r="AJ937" i="2" s="1"/>
  <c r="AJ938" i="2" a="1"/>
  <c r="AJ938" i="2" s="1"/>
  <c r="AJ939" i="2" a="1"/>
  <c r="AJ939" i="2" s="1"/>
  <c r="AJ940" i="2" a="1"/>
  <c r="AJ940" i="2" s="1"/>
  <c r="AJ941" i="2" a="1"/>
  <c r="AJ941" i="2" s="1"/>
  <c r="AJ942" i="2" a="1"/>
  <c r="AJ942" i="2" s="1"/>
  <c r="AJ943" i="2" a="1"/>
  <c r="AJ943" i="2" s="1"/>
  <c r="AJ944" i="2" a="1"/>
  <c r="AJ944" i="2" s="1"/>
  <c r="AJ945" i="2" a="1"/>
  <c r="AJ945" i="2" s="1"/>
  <c r="AJ946" i="2" a="1"/>
  <c r="AJ946" i="2" s="1"/>
  <c r="AJ947" i="2" a="1"/>
  <c r="AJ947" i="2" s="1"/>
  <c r="AJ948" i="2" a="1"/>
  <c r="AJ948" i="2" s="1"/>
  <c r="AJ949" i="2" a="1"/>
  <c r="AJ949" i="2" s="1"/>
  <c r="AJ950" i="2" a="1"/>
  <c r="AJ950" i="2" s="1"/>
  <c r="AJ951" i="2" a="1"/>
  <c r="AJ951" i="2" s="1"/>
  <c r="AJ952" i="2" a="1"/>
  <c r="AJ952" i="2" s="1"/>
  <c r="AJ953" i="2" a="1"/>
  <c r="AJ953" i="2" s="1"/>
  <c r="AJ954" i="2" a="1"/>
  <c r="AJ954" i="2" s="1"/>
  <c r="AJ955" i="2" a="1"/>
  <c r="AJ955" i="2" s="1"/>
  <c r="AJ956" i="2" a="1"/>
  <c r="AJ956" i="2" s="1"/>
  <c r="AJ957" i="2" a="1"/>
  <c r="AJ957" i="2" s="1"/>
  <c r="AJ958" i="2" a="1"/>
  <c r="AJ958" i="2" s="1"/>
  <c r="AJ959" i="2" a="1"/>
  <c r="AJ959" i="2" s="1"/>
  <c r="AJ960" i="2" a="1"/>
  <c r="AJ960" i="2" s="1"/>
  <c r="AJ961" i="2" a="1"/>
  <c r="AJ961" i="2" s="1"/>
  <c r="AJ962" i="2" a="1"/>
  <c r="AJ962" i="2" s="1"/>
  <c r="AJ963" i="2" a="1"/>
  <c r="AJ963" i="2" s="1"/>
  <c r="AJ964" i="2" a="1"/>
  <c r="AJ964" i="2" s="1"/>
  <c r="AJ965" i="2" a="1"/>
  <c r="AJ965" i="2" s="1"/>
  <c r="AJ966" i="2" a="1"/>
  <c r="AJ966" i="2" s="1"/>
  <c r="AJ967" i="2" a="1"/>
  <c r="AJ967" i="2" s="1"/>
  <c r="AJ968" i="2" a="1"/>
  <c r="AJ968" i="2" s="1"/>
  <c r="AJ969" i="2" a="1"/>
  <c r="AJ969" i="2" s="1"/>
  <c r="AJ970" i="2" a="1"/>
  <c r="AJ970" i="2" s="1"/>
  <c r="AJ971" i="2" a="1"/>
  <c r="AJ971" i="2" s="1"/>
  <c r="AJ972" i="2" a="1"/>
  <c r="AJ972" i="2" s="1"/>
  <c r="AJ973" i="2" a="1"/>
  <c r="AJ973" i="2" s="1"/>
  <c r="AJ974" i="2" a="1"/>
  <c r="AJ974" i="2" s="1"/>
  <c r="AJ975" i="2" a="1"/>
  <c r="AJ975" i="2" s="1"/>
  <c r="AJ976" i="2" a="1"/>
  <c r="AJ976" i="2" s="1"/>
  <c r="AJ977" i="2" a="1"/>
  <c r="AJ977" i="2" s="1"/>
  <c r="AJ978" i="2" a="1"/>
  <c r="AJ978" i="2" s="1"/>
  <c r="AJ979" i="2" a="1"/>
  <c r="AJ979" i="2" s="1"/>
  <c r="AJ980" i="2" a="1"/>
  <c r="AJ980" i="2" s="1"/>
  <c r="AJ981" i="2" a="1"/>
  <c r="AJ981" i="2" s="1"/>
  <c r="AJ982" i="2" a="1"/>
  <c r="AJ982" i="2" s="1"/>
  <c r="AJ983" i="2" a="1"/>
  <c r="AJ983" i="2" s="1"/>
  <c r="AJ984" i="2" a="1"/>
  <c r="AJ984" i="2" s="1"/>
  <c r="AJ985" i="2" a="1"/>
  <c r="AJ985" i="2" s="1"/>
  <c r="AJ986" i="2" a="1"/>
  <c r="AJ986" i="2" s="1"/>
  <c r="AJ987" i="2" a="1"/>
  <c r="AJ987" i="2" s="1"/>
  <c r="AJ988" i="2" a="1"/>
  <c r="AJ988" i="2" s="1"/>
  <c r="AJ989" i="2" a="1"/>
  <c r="AJ989" i="2" s="1"/>
  <c r="AJ990" i="2" a="1"/>
  <c r="AJ990" i="2" s="1"/>
  <c r="AJ991" i="2" a="1"/>
  <c r="AJ991" i="2" s="1"/>
  <c r="AJ992" i="2" a="1"/>
  <c r="AJ992" i="2" s="1"/>
  <c r="AJ993" i="2" a="1"/>
  <c r="AJ993" i="2" s="1"/>
  <c r="AJ994" i="2" a="1"/>
  <c r="AJ994" i="2" s="1"/>
  <c r="AJ995" i="2" a="1"/>
  <c r="AJ995" i="2" s="1"/>
  <c r="AJ996" i="2" a="1"/>
  <c r="AJ996" i="2" s="1"/>
  <c r="AJ997" i="2" a="1"/>
  <c r="AJ997" i="2" s="1"/>
  <c r="AJ998" i="2" a="1"/>
  <c r="AJ998" i="2" s="1"/>
  <c r="AJ999" i="2" a="1"/>
  <c r="AJ999" i="2" s="1"/>
  <c r="AJ1000" i="2" a="1"/>
  <c r="AJ1000" i="2" s="1"/>
  <c r="AJ1001" i="2" a="1"/>
  <c r="AJ1001" i="2" s="1"/>
  <c r="AJ1002" i="2" a="1"/>
  <c r="AJ1002" i="2" s="1"/>
  <c r="AJ1003" i="2" a="1"/>
  <c r="AJ1003" i="2" s="1"/>
  <c r="AJ1004" i="2" a="1"/>
  <c r="AJ1004" i="2" s="1"/>
  <c r="AJ1005" i="2" a="1"/>
  <c r="AJ1005" i="2" s="1"/>
  <c r="AJ1006" i="2" a="1"/>
  <c r="AJ1006" i="2" s="1"/>
  <c r="AJ1007" i="2" a="1"/>
  <c r="AJ1007" i="2" s="1"/>
  <c r="AJ1008" i="2" a="1"/>
  <c r="AJ1008" i="2" s="1"/>
  <c r="AJ1009" i="2" a="1"/>
  <c r="AJ1009" i="2" s="1"/>
  <c r="AJ1010" i="2" a="1"/>
  <c r="AJ1010" i="2" s="1"/>
  <c r="AJ1011" i="2" a="1"/>
  <c r="AJ1011" i="2" s="1"/>
  <c r="AJ1012" i="2" a="1"/>
  <c r="AJ1012" i="2" s="1"/>
  <c r="AJ1013" i="2" a="1"/>
  <c r="AJ1013" i="2" s="1"/>
  <c r="AJ1014" i="2" a="1"/>
  <c r="AJ1014" i="2" s="1"/>
  <c r="AJ1015" i="2" a="1"/>
  <c r="AJ1015" i="2" s="1"/>
  <c r="AJ1016" i="2" a="1"/>
  <c r="AJ1016" i="2" s="1"/>
  <c r="AJ1017" i="2" a="1"/>
  <c r="AJ1017" i="2" s="1"/>
  <c r="AJ1018" i="2" a="1"/>
  <c r="AJ1018" i="2" s="1"/>
  <c r="AJ1019" i="2" a="1"/>
  <c r="AJ1019" i="2" s="1"/>
  <c r="AJ1020" i="2" a="1"/>
  <c r="AJ1020" i="2" s="1"/>
  <c r="AJ1021" i="2" a="1"/>
  <c r="AJ1021" i="2" s="1"/>
  <c r="AJ1022" i="2" a="1"/>
  <c r="AJ1022" i="2" s="1"/>
  <c r="AJ1023" i="2" a="1"/>
  <c r="AJ1023" i="2" s="1"/>
  <c r="AJ1024" i="2" a="1"/>
  <c r="AJ1024" i="2" s="1"/>
  <c r="AJ1025" i="2" a="1"/>
  <c r="AJ1025" i="2" s="1"/>
  <c r="AJ1026" i="2" a="1"/>
  <c r="AJ1026" i="2" s="1"/>
  <c r="AJ1027" i="2" a="1"/>
  <c r="AJ1027" i="2" s="1"/>
  <c r="AJ1028" i="2" a="1"/>
  <c r="AJ1028" i="2" s="1"/>
  <c r="AJ1029" i="2" a="1"/>
  <c r="AJ1029" i="2" s="1"/>
  <c r="AJ1030" i="2" a="1"/>
  <c r="AJ1030" i="2" s="1"/>
  <c r="AJ1031" i="2" a="1"/>
  <c r="AJ1031" i="2" s="1"/>
  <c r="AJ1032" i="2" a="1"/>
  <c r="AJ1032" i="2" s="1"/>
  <c r="AJ1033" i="2" a="1"/>
  <c r="AJ1033" i="2" s="1"/>
  <c r="AJ1034" i="2" a="1"/>
  <c r="AJ1034" i="2" s="1"/>
  <c r="AJ1035" i="2" a="1"/>
  <c r="AJ1035" i="2" s="1"/>
  <c r="AJ1036" i="2" a="1"/>
  <c r="AJ1036" i="2" s="1"/>
  <c r="AJ1037" i="2" a="1"/>
  <c r="AJ1037" i="2" s="1"/>
  <c r="AJ1038" i="2" a="1"/>
  <c r="AJ1038" i="2" s="1"/>
  <c r="AJ1039" i="2" a="1"/>
  <c r="AJ1039" i="2" s="1"/>
  <c r="AJ1040" i="2" a="1"/>
  <c r="AJ1040" i="2" s="1"/>
  <c r="AJ1041" i="2" a="1"/>
  <c r="AJ1041" i="2" s="1"/>
  <c r="AJ1042" i="2" a="1"/>
  <c r="AJ1042" i="2" s="1"/>
  <c r="AJ1043" i="2" a="1"/>
  <c r="AJ1043" i="2" s="1"/>
  <c r="AJ1044" i="2" a="1"/>
  <c r="AJ1044" i="2" s="1"/>
  <c r="AJ1045" i="2" a="1"/>
  <c r="AJ1045" i="2" s="1"/>
  <c r="AJ1046" i="2" a="1"/>
  <c r="AJ1046" i="2" s="1"/>
  <c r="AJ1047" i="2" a="1"/>
  <c r="AJ1047" i="2" s="1"/>
  <c r="AJ1048" i="2" a="1"/>
  <c r="AJ1048" i="2" s="1"/>
  <c r="AJ1049" i="2" a="1"/>
  <c r="AJ1049" i="2" s="1"/>
  <c r="AJ1050" i="2" a="1"/>
  <c r="AJ1050" i="2" s="1"/>
  <c r="AJ1051" i="2" a="1"/>
  <c r="AJ1051" i="2" s="1"/>
  <c r="AJ1052" i="2" a="1"/>
  <c r="AJ1052" i="2" s="1"/>
  <c r="AJ1053" i="2" a="1"/>
  <c r="AJ1053" i="2" s="1"/>
  <c r="AJ1054" i="2" a="1"/>
  <c r="AJ1054" i="2" s="1"/>
  <c r="AJ1055" i="2" a="1"/>
  <c r="AJ1055" i="2" s="1"/>
  <c r="AJ1056" i="2" a="1"/>
  <c r="AJ1056" i="2" s="1"/>
  <c r="AJ1057" i="2" a="1"/>
  <c r="AJ1057" i="2" s="1"/>
  <c r="AJ1058" i="2" a="1"/>
  <c r="AJ1058" i="2" s="1"/>
  <c r="AJ1059" i="2" a="1"/>
  <c r="AJ1059" i="2" s="1"/>
  <c r="AJ1060" i="2" a="1"/>
  <c r="AJ1060" i="2" s="1"/>
  <c r="AJ1061" i="2" a="1"/>
  <c r="AJ1061" i="2" s="1"/>
  <c r="AJ1062" i="2" a="1"/>
  <c r="AJ1062" i="2" s="1"/>
  <c r="AJ1063" i="2" a="1"/>
  <c r="AJ1063" i="2" s="1"/>
  <c r="AJ1064" i="2" a="1"/>
  <c r="AJ1064" i="2" s="1"/>
  <c r="AJ1065" i="2" a="1"/>
  <c r="AJ1065" i="2" s="1"/>
  <c r="AJ1066" i="2" a="1"/>
  <c r="AJ1066" i="2" s="1"/>
  <c r="AJ1067" i="2" a="1"/>
  <c r="AJ1067" i="2" s="1"/>
  <c r="AJ1068" i="2" a="1"/>
  <c r="AJ1068" i="2" s="1"/>
  <c r="AJ1069" i="2" a="1"/>
  <c r="AJ1069" i="2" s="1"/>
  <c r="AJ1070" i="2" a="1"/>
  <c r="AJ1070" i="2" s="1"/>
  <c r="AJ1071" i="2" a="1"/>
  <c r="AJ1071" i="2" s="1"/>
  <c r="AJ1072" i="2" a="1"/>
  <c r="AJ1072" i="2" s="1"/>
  <c r="AJ1073" i="2" a="1"/>
  <c r="AJ1073" i="2" s="1"/>
  <c r="AJ1074" i="2" a="1"/>
  <c r="AJ1074" i="2" s="1"/>
  <c r="AJ1075" i="2" a="1"/>
  <c r="AJ1075" i="2" s="1"/>
  <c r="AJ1076" i="2" a="1"/>
  <c r="AJ1076" i="2" s="1"/>
  <c r="AJ1077" i="2" a="1"/>
  <c r="AJ1077" i="2" s="1"/>
  <c r="AJ1078" i="2" a="1"/>
  <c r="AJ1078" i="2" s="1"/>
  <c r="AJ1079" i="2" a="1"/>
  <c r="AJ1079" i="2" s="1"/>
  <c r="AJ1080" i="2" a="1"/>
  <c r="AJ1080" i="2" s="1"/>
  <c r="AJ1081" i="2" a="1"/>
  <c r="AJ1081" i="2" s="1"/>
  <c r="AJ1082" i="2" a="1"/>
  <c r="AJ1082" i="2" s="1"/>
  <c r="AJ1083" i="2" a="1"/>
  <c r="AJ1083" i="2" s="1"/>
  <c r="AJ1084" i="2" a="1"/>
  <c r="AJ1084" i="2" s="1"/>
  <c r="AJ1085" i="2" a="1"/>
  <c r="AJ1085" i="2" s="1"/>
  <c r="AJ1086" i="2" a="1"/>
  <c r="AJ1086" i="2" s="1"/>
  <c r="AJ1087" i="2" a="1"/>
  <c r="AJ1087" i="2" s="1"/>
  <c r="AJ1088" i="2" a="1"/>
  <c r="AJ1088" i="2" s="1"/>
  <c r="AJ1089" i="2" a="1"/>
  <c r="AJ1089" i="2" s="1"/>
  <c r="AJ1090" i="2" a="1"/>
  <c r="AJ1090" i="2" s="1"/>
  <c r="AJ1091" i="2" a="1"/>
  <c r="AJ1091" i="2" s="1"/>
  <c r="AJ1092" i="2" a="1"/>
  <c r="AJ1092" i="2" s="1"/>
  <c r="AJ1093" i="2" a="1"/>
  <c r="AJ1093" i="2" s="1"/>
  <c r="AJ1094" i="2" a="1"/>
  <c r="AJ1094" i="2" s="1"/>
  <c r="AJ1095" i="2" a="1"/>
  <c r="AJ1095" i="2" s="1"/>
  <c r="AJ1096" i="2" a="1"/>
  <c r="AJ1096" i="2" s="1"/>
  <c r="AJ1097" i="2" a="1"/>
  <c r="AJ1097" i="2" s="1"/>
  <c r="AJ1098" i="2" a="1"/>
  <c r="AJ1098" i="2" s="1"/>
  <c r="AJ1099" i="2" a="1"/>
  <c r="AJ1099" i="2" s="1"/>
  <c r="AJ1100" i="2" a="1"/>
  <c r="AJ1100" i="2" s="1"/>
  <c r="AJ1101" i="2" a="1"/>
  <c r="AJ1101" i="2" s="1"/>
  <c r="AJ1102" i="2" a="1"/>
  <c r="AJ1102" i="2" s="1"/>
  <c r="AJ1103" i="2" a="1"/>
  <c r="AJ1103" i="2" s="1"/>
  <c r="AJ1104" i="2" a="1"/>
  <c r="AJ1104" i="2" s="1"/>
  <c r="AJ1105" i="2" a="1"/>
  <c r="AJ1105" i="2" s="1"/>
  <c r="AJ1106" i="2" a="1"/>
  <c r="AJ1106" i="2" s="1"/>
  <c r="AJ1107" i="2" a="1"/>
  <c r="AJ1107" i="2" s="1"/>
  <c r="AJ1108" i="2" a="1"/>
  <c r="AJ1108" i="2" s="1"/>
  <c r="AJ1109" i="2" a="1"/>
  <c r="AJ1109" i="2" s="1"/>
  <c r="AJ1110" i="2" a="1"/>
  <c r="AJ1110" i="2" s="1"/>
  <c r="AJ1111" i="2" a="1"/>
  <c r="AJ1111" i="2" s="1"/>
  <c r="AJ1112" i="2" a="1"/>
  <c r="AJ1112" i="2" s="1"/>
  <c r="AJ1113" i="2" a="1"/>
  <c r="AJ1113" i="2" s="1"/>
  <c r="AJ1114" i="2" a="1"/>
  <c r="AJ1114" i="2" s="1"/>
  <c r="AJ1115" i="2" a="1"/>
  <c r="AJ1115" i="2" s="1"/>
  <c r="AJ1116" i="2" a="1"/>
  <c r="AJ1116" i="2" s="1"/>
  <c r="AJ1117" i="2" a="1"/>
  <c r="AJ1117" i="2" s="1"/>
  <c r="AJ1118" i="2" a="1"/>
  <c r="AJ1118" i="2" s="1"/>
  <c r="AJ1119" i="2" a="1"/>
  <c r="AJ1119" i="2" s="1"/>
  <c r="AJ1120" i="2" a="1"/>
  <c r="AJ1120" i="2" s="1"/>
  <c r="AJ1121" i="2" a="1"/>
  <c r="AJ1121" i="2" s="1"/>
  <c r="AJ1122" i="2" a="1"/>
  <c r="AJ1122" i="2" s="1"/>
  <c r="AJ1123" i="2" a="1"/>
  <c r="AJ1123" i="2" s="1"/>
  <c r="AJ1124" i="2" a="1"/>
  <c r="AJ1124" i="2" s="1"/>
  <c r="AJ1125" i="2" a="1"/>
  <c r="AJ1125" i="2" s="1"/>
  <c r="AJ1126" i="2" a="1"/>
  <c r="AJ1126" i="2" s="1"/>
  <c r="AJ1127" i="2" a="1"/>
  <c r="AJ1127" i="2" s="1"/>
  <c r="AJ1128" i="2" a="1"/>
  <c r="AJ1128" i="2" s="1"/>
  <c r="AJ1129" i="2" a="1"/>
  <c r="AJ1129" i="2" s="1"/>
  <c r="AJ1130" i="2" a="1"/>
  <c r="AJ1130" i="2" s="1"/>
  <c r="AJ1131" i="2" a="1"/>
  <c r="AJ1131" i="2" s="1"/>
  <c r="AJ1132" i="2" a="1"/>
  <c r="AJ1132" i="2" s="1"/>
  <c r="AJ1133" i="2" a="1"/>
  <c r="AJ1133" i="2" s="1"/>
  <c r="AJ1134" i="2" a="1"/>
  <c r="AJ1134" i="2" s="1"/>
  <c r="AJ1135" i="2" a="1"/>
  <c r="AJ1135" i="2" s="1"/>
  <c r="AJ1136" i="2" a="1"/>
  <c r="AJ1136" i="2" s="1"/>
  <c r="AJ1137" i="2" a="1"/>
  <c r="AJ1137" i="2" s="1"/>
  <c r="AJ1138" i="2" a="1"/>
  <c r="AJ1138" i="2" s="1"/>
  <c r="AJ1139" i="2" a="1"/>
  <c r="AJ1139" i="2" s="1"/>
  <c r="AJ1140" i="2" a="1"/>
  <c r="AJ1140" i="2" s="1"/>
  <c r="AJ1141" i="2" a="1"/>
  <c r="AJ1141" i="2" s="1"/>
  <c r="AJ1142" i="2" a="1"/>
  <c r="AJ1142" i="2" s="1"/>
  <c r="AJ1143" i="2" a="1"/>
  <c r="AJ1143" i="2" s="1"/>
  <c r="AJ1144" i="2" a="1"/>
  <c r="AJ1144" i="2" s="1"/>
  <c r="AJ1145" i="2" a="1"/>
  <c r="AJ1145" i="2" s="1"/>
  <c r="AJ1146" i="2" a="1"/>
  <c r="AJ1146" i="2" s="1"/>
  <c r="AJ1147" i="2" a="1"/>
  <c r="AJ1147" i="2" s="1"/>
  <c r="AJ1148" i="2" a="1"/>
  <c r="AJ1148" i="2" s="1"/>
  <c r="AJ1149" i="2" a="1"/>
  <c r="AJ1149" i="2" s="1"/>
  <c r="AJ1150" i="2" a="1"/>
  <c r="AJ1150" i="2" s="1"/>
  <c r="AJ1151" i="2" a="1"/>
  <c r="AJ1151" i="2" s="1"/>
  <c r="AJ1152" i="2" a="1"/>
  <c r="AJ1152" i="2" s="1"/>
  <c r="AJ1153" i="2" a="1"/>
  <c r="AJ1153" i="2" s="1"/>
  <c r="AJ1154" i="2" a="1"/>
  <c r="AJ1154" i="2" s="1"/>
  <c r="AJ1155" i="2" a="1"/>
  <c r="AJ1155" i="2" s="1"/>
  <c r="AJ1156" i="2" a="1"/>
  <c r="AJ1156" i="2" s="1"/>
  <c r="AJ1157" i="2" a="1"/>
  <c r="AJ1157" i="2" s="1"/>
  <c r="AJ1158" i="2" a="1"/>
  <c r="AJ1158" i="2" s="1"/>
  <c r="AJ1159" i="2" a="1"/>
  <c r="AJ1159" i="2" s="1"/>
  <c r="AJ1160" i="2" a="1"/>
  <c r="AJ1160" i="2" s="1"/>
  <c r="AJ1161" i="2" a="1"/>
  <c r="AJ1161" i="2" s="1"/>
  <c r="AJ1162" i="2" a="1"/>
  <c r="AJ1162" i="2" s="1"/>
  <c r="AJ1163" i="2" a="1"/>
  <c r="AJ1163" i="2" s="1"/>
  <c r="AJ1164" i="2" a="1"/>
  <c r="AJ1164" i="2" s="1"/>
  <c r="AJ1165" i="2" a="1"/>
  <c r="AJ1165" i="2" s="1"/>
  <c r="AJ1166" i="2" a="1"/>
  <c r="AJ1166" i="2" s="1"/>
  <c r="AJ1167" i="2" a="1"/>
  <c r="AJ1167" i="2" s="1"/>
  <c r="AJ1168" i="2" a="1"/>
  <c r="AJ1168" i="2" s="1"/>
  <c r="AJ1169" i="2" a="1"/>
  <c r="AJ1169" i="2" s="1"/>
  <c r="AJ1170" i="2" a="1"/>
  <c r="AJ1170" i="2" s="1"/>
  <c r="AJ1171" i="2" a="1"/>
  <c r="AJ1171" i="2" s="1"/>
  <c r="AJ1172" i="2" a="1"/>
  <c r="AJ1172" i="2" s="1"/>
  <c r="AJ1173" i="2" a="1"/>
  <c r="AJ1173" i="2" s="1"/>
  <c r="AJ1174" i="2" a="1"/>
  <c r="AJ1174" i="2" s="1"/>
  <c r="AJ1175" i="2" a="1"/>
  <c r="AJ1175" i="2" s="1"/>
  <c r="AJ1176" i="2" a="1"/>
  <c r="AJ1176" i="2" s="1"/>
  <c r="AJ1177" i="2" a="1"/>
  <c r="AJ1177" i="2" s="1"/>
  <c r="AJ1178" i="2" a="1"/>
  <c r="AJ1178" i="2" s="1"/>
  <c r="AJ1179" i="2" a="1"/>
  <c r="AJ1179" i="2" s="1"/>
  <c r="AJ1180" i="2" a="1"/>
  <c r="AJ1180" i="2" s="1"/>
  <c r="AJ1181" i="2" a="1"/>
  <c r="AJ1181" i="2" s="1"/>
  <c r="AJ1182" i="2" a="1"/>
  <c r="AJ1182" i="2" s="1"/>
  <c r="AJ1183" i="2" a="1"/>
  <c r="AJ1183" i="2" s="1"/>
  <c r="AJ1184" i="2" a="1"/>
  <c r="AJ1184" i="2" s="1"/>
  <c r="AJ1185" i="2" a="1"/>
  <c r="AJ1185" i="2" s="1"/>
  <c r="AJ1186" i="2" a="1"/>
  <c r="AJ1186" i="2" s="1"/>
  <c r="AJ1187" i="2" a="1"/>
  <c r="AJ1187" i="2" s="1"/>
  <c r="AJ1188" i="2" a="1"/>
  <c r="AJ1188" i="2" s="1"/>
  <c r="AJ1189" i="2" a="1"/>
  <c r="AJ1189" i="2" s="1"/>
  <c r="AJ1190" i="2" a="1"/>
  <c r="AJ1190" i="2" s="1"/>
  <c r="AJ1191" i="2" a="1"/>
  <c r="AJ1191" i="2" s="1"/>
  <c r="AJ1192" i="2" a="1"/>
  <c r="AJ1192" i="2" s="1"/>
  <c r="AJ1193" i="2" a="1"/>
  <c r="AJ1193" i="2" s="1"/>
  <c r="AJ1194" i="2" a="1"/>
  <c r="AJ1194" i="2" s="1"/>
  <c r="AJ1195" i="2" a="1"/>
  <c r="AJ1195" i="2" s="1"/>
  <c r="AJ1196" i="2" a="1"/>
  <c r="AJ1196" i="2" s="1"/>
  <c r="AJ1197" i="2" a="1"/>
  <c r="AJ1197" i="2" s="1"/>
  <c r="AJ1198" i="2" a="1"/>
  <c r="AJ1198" i="2" s="1"/>
  <c r="AJ1199" i="2" a="1"/>
  <c r="AJ1199" i="2" s="1"/>
  <c r="AJ1200" i="2" a="1"/>
  <c r="AJ1200" i="2" s="1"/>
  <c r="AJ1201" i="2" a="1"/>
  <c r="AJ1201" i="2" s="1"/>
  <c r="AJ1202" i="2" a="1"/>
  <c r="AJ1202" i="2" s="1"/>
  <c r="AJ1203" i="2" a="1"/>
  <c r="AJ1203" i="2" s="1"/>
  <c r="AJ1204" i="2" a="1"/>
  <c r="AJ1204" i="2" s="1"/>
  <c r="AJ1205" i="2" a="1"/>
  <c r="AJ1205" i="2" s="1"/>
  <c r="AJ1206" i="2" a="1"/>
  <c r="AJ1206" i="2" s="1"/>
  <c r="AJ1207" i="2" a="1"/>
  <c r="AJ1207" i="2" s="1"/>
  <c r="AJ1208" i="2" a="1"/>
  <c r="AJ1208" i="2" s="1"/>
  <c r="AJ1209" i="2" a="1"/>
  <c r="AJ1209" i="2" s="1"/>
  <c r="AJ1210" i="2" a="1"/>
  <c r="AJ1210" i="2" s="1"/>
  <c r="AJ1211" i="2" a="1"/>
  <c r="AJ1211" i="2" s="1"/>
  <c r="AJ1212" i="2" a="1"/>
  <c r="AJ1212" i="2" s="1"/>
  <c r="AJ1213" i="2" a="1"/>
  <c r="AJ1213" i="2" s="1"/>
  <c r="AJ1214" i="2" a="1"/>
  <c r="AJ1214" i="2" s="1"/>
  <c r="AJ1215" i="2" a="1"/>
  <c r="AJ1215" i="2" s="1"/>
  <c r="AJ1216" i="2" a="1"/>
  <c r="AJ1216" i="2" s="1"/>
  <c r="AJ1217" i="2" a="1"/>
  <c r="AJ1217" i="2" s="1"/>
  <c r="AJ1218" i="2" a="1"/>
  <c r="AJ1218" i="2" s="1"/>
  <c r="AJ1219" i="2" a="1"/>
  <c r="AJ1219" i="2" s="1"/>
  <c r="AJ1220" i="2" a="1"/>
  <c r="AJ1220" i="2" s="1"/>
  <c r="AJ1221" i="2" a="1"/>
  <c r="AJ1221" i="2" s="1"/>
  <c r="AJ1222" i="2" a="1"/>
  <c r="AJ1222" i="2" s="1"/>
  <c r="AJ1223" i="2" a="1"/>
  <c r="AJ1223" i="2" s="1"/>
  <c r="AJ1224" i="2" a="1"/>
  <c r="AJ1224" i="2" s="1"/>
  <c r="AJ1225" i="2" a="1"/>
  <c r="AJ1225" i="2" s="1"/>
  <c r="AJ1226" i="2" a="1"/>
  <c r="AJ1226" i="2" s="1"/>
  <c r="AJ1227" i="2" a="1"/>
  <c r="AJ1227" i="2" s="1"/>
  <c r="AJ1228" i="2" a="1"/>
  <c r="AJ1228" i="2" s="1"/>
  <c r="AJ1229" i="2" a="1"/>
  <c r="AJ1229" i="2" s="1"/>
  <c r="AJ1230" i="2" a="1"/>
  <c r="AJ1230" i="2" s="1"/>
  <c r="AJ1231" i="2" a="1"/>
  <c r="AJ1231" i="2" s="1"/>
  <c r="AJ1232" i="2" a="1"/>
  <c r="AJ1232" i="2" s="1"/>
  <c r="AJ1233" i="2" a="1"/>
  <c r="AJ1233" i="2" s="1"/>
  <c r="AJ1234" i="2" a="1"/>
  <c r="AJ1234" i="2" s="1"/>
  <c r="AJ1235" i="2" a="1"/>
  <c r="AJ1235" i="2" s="1"/>
  <c r="AJ1236" i="2" a="1"/>
  <c r="AJ1236" i="2" s="1"/>
  <c r="AJ1237" i="2" a="1"/>
  <c r="AJ1237" i="2" s="1"/>
  <c r="AJ1238" i="2" a="1"/>
  <c r="AJ1238" i="2" s="1"/>
  <c r="AJ1239" i="2" a="1"/>
  <c r="AJ1239" i="2" s="1"/>
  <c r="AJ1240" i="2" a="1"/>
  <c r="AJ1240" i="2" s="1"/>
  <c r="AJ1241" i="2" a="1"/>
  <c r="AJ1241" i="2" s="1"/>
  <c r="AJ1242" i="2" a="1"/>
  <c r="AJ1242" i="2" s="1"/>
  <c r="AJ1243" i="2" a="1"/>
  <c r="AJ1243" i="2" s="1"/>
  <c r="AJ1244" i="2" a="1"/>
  <c r="AJ1244" i="2" s="1"/>
  <c r="AJ1245" i="2" a="1"/>
  <c r="AJ1245" i="2" s="1"/>
  <c r="AJ1246" i="2" a="1"/>
  <c r="AJ1246" i="2" s="1"/>
  <c r="AJ1247" i="2" a="1"/>
  <c r="AJ1247" i="2" s="1"/>
  <c r="AJ1248" i="2" a="1"/>
  <c r="AJ1248" i="2" s="1"/>
  <c r="AJ1249" i="2" a="1"/>
  <c r="AJ1249" i="2" s="1"/>
  <c r="AJ1250" i="2" a="1"/>
  <c r="AJ1250" i="2" s="1"/>
  <c r="AJ1251" i="2" a="1"/>
  <c r="AJ1251" i="2" s="1"/>
  <c r="AJ1252" i="2" a="1"/>
  <c r="AJ1252" i="2" s="1"/>
  <c r="AJ1253" i="2" a="1"/>
  <c r="AJ1253" i="2" s="1"/>
  <c r="AJ1254" i="2" a="1"/>
  <c r="AJ1254" i="2" s="1"/>
  <c r="AJ1255" i="2" a="1"/>
  <c r="AJ1255" i="2" s="1"/>
  <c r="AJ1256" i="2" a="1"/>
  <c r="AJ1256" i="2" s="1"/>
  <c r="AJ1257" i="2" a="1"/>
  <c r="AJ1257" i="2" s="1"/>
  <c r="AJ1258" i="2" a="1"/>
  <c r="AJ1258" i="2" s="1"/>
  <c r="AJ1259" i="2" a="1"/>
  <c r="AJ1259" i="2" s="1"/>
  <c r="AJ1260" i="2" a="1"/>
  <c r="AJ1260" i="2" s="1"/>
  <c r="AJ1261" i="2" a="1"/>
  <c r="AJ1261" i="2" s="1"/>
  <c r="AJ1262" i="2" a="1"/>
  <c r="AJ1262" i="2" s="1"/>
  <c r="AJ1263" i="2" a="1"/>
  <c r="AJ1263" i="2" s="1"/>
  <c r="AJ1264" i="2" a="1"/>
  <c r="AJ1264" i="2" s="1"/>
  <c r="AJ1265" i="2" a="1"/>
  <c r="AJ1265" i="2" s="1"/>
  <c r="AJ1266" i="2" a="1"/>
  <c r="AJ1266" i="2" s="1"/>
  <c r="AJ1267" i="2" a="1"/>
  <c r="AJ1267" i="2" s="1"/>
  <c r="AJ1268" i="2" a="1"/>
  <c r="AJ1268" i="2" s="1"/>
  <c r="AJ1269" i="2" a="1"/>
  <c r="AJ1269" i="2" s="1"/>
  <c r="AJ1270" i="2" a="1"/>
  <c r="AJ1270" i="2" s="1"/>
  <c r="AJ1271" i="2" a="1"/>
  <c r="AJ1271" i="2" s="1"/>
  <c r="AJ1272" i="2" a="1"/>
  <c r="AJ1272" i="2" s="1"/>
  <c r="AJ1273" i="2" a="1"/>
  <c r="AJ1273" i="2" s="1"/>
  <c r="AJ1274" i="2" a="1"/>
  <c r="AJ1274" i="2" s="1"/>
  <c r="AJ1275" i="2" a="1"/>
  <c r="AJ1275" i="2" s="1"/>
  <c r="AJ1276" i="2" a="1"/>
  <c r="AJ1276" i="2" s="1"/>
  <c r="AJ1277" i="2" a="1"/>
  <c r="AJ1277" i="2" s="1"/>
  <c r="AJ1278" i="2" a="1"/>
  <c r="AJ1278" i="2" s="1"/>
  <c r="AJ1279" i="2" a="1"/>
  <c r="AJ1279" i="2" s="1"/>
  <c r="AJ1280" i="2" a="1"/>
  <c r="AJ1280" i="2" s="1"/>
  <c r="AJ1281" i="2" a="1"/>
  <c r="AJ1281" i="2" s="1"/>
  <c r="AJ1282" i="2" a="1"/>
  <c r="AJ1282" i="2" s="1"/>
  <c r="AJ1283" i="2" a="1"/>
  <c r="AJ1283" i="2" s="1"/>
  <c r="AJ1284" i="2" a="1"/>
  <c r="AJ1284" i="2" s="1"/>
  <c r="AJ1285" i="2" a="1"/>
  <c r="AJ1285" i="2" s="1"/>
  <c r="AJ1286" i="2" a="1"/>
  <c r="AJ1286" i="2" s="1"/>
  <c r="AJ1287" i="2" a="1"/>
  <c r="AJ1287" i="2" s="1"/>
  <c r="AJ1288" i="2" a="1"/>
  <c r="AJ1288" i="2" s="1"/>
  <c r="AJ1289" i="2" a="1"/>
  <c r="AJ1289" i="2" s="1"/>
  <c r="AJ1290" i="2" a="1"/>
  <c r="AJ1290" i="2" s="1"/>
  <c r="AJ1291" i="2" a="1"/>
  <c r="AJ1291" i="2" s="1"/>
  <c r="AJ1292" i="2" a="1"/>
  <c r="AJ1292" i="2" s="1"/>
  <c r="AJ1293" i="2" a="1"/>
  <c r="AJ1293" i="2" s="1"/>
  <c r="AJ1294" i="2" a="1"/>
  <c r="AJ1294" i="2" s="1"/>
  <c r="AJ1295" i="2" a="1"/>
  <c r="AJ1295" i="2" s="1"/>
  <c r="AJ1296" i="2" a="1"/>
  <c r="AJ1296" i="2" s="1"/>
  <c r="AJ1297" i="2" a="1"/>
  <c r="AJ1297" i="2" s="1"/>
  <c r="AJ1298" i="2" a="1"/>
  <c r="AJ1298" i="2" s="1"/>
  <c r="AJ1299" i="2" a="1"/>
  <c r="AJ1299" i="2" s="1"/>
  <c r="AJ1300" i="2" a="1"/>
  <c r="AJ1300" i="2" s="1"/>
  <c r="AJ1301" i="2" a="1"/>
  <c r="AJ1301" i="2" s="1"/>
  <c r="AJ1302" i="2" a="1"/>
  <c r="AJ1302" i="2" s="1"/>
  <c r="AJ1303" i="2" a="1"/>
  <c r="AJ1303" i="2" s="1"/>
  <c r="AJ1304" i="2" a="1"/>
  <c r="AJ1304" i="2" s="1"/>
  <c r="AJ1305" i="2" a="1"/>
  <c r="AJ1305" i="2" s="1"/>
  <c r="AJ1306" i="2" a="1"/>
  <c r="AJ1306" i="2" s="1"/>
  <c r="AJ1307" i="2" a="1"/>
  <c r="AJ1307" i="2" s="1"/>
  <c r="AJ1308" i="2" a="1"/>
  <c r="AJ1308" i="2" s="1"/>
  <c r="AJ1309" i="2" a="1"/>
  <c r="AJ1309" i="2" s="1"/>
  <c r="AJ1310" i="2" a="1"/>
  <c r="AJ1310" i="2" s="1"/>
  <c r="AJ1311" i="2" a="1"/>
  <c r="AJ1311" i="2" s="1"/>
  <c r="AJ1312" i="2" a="1"/>
  <c r="AJ1312" i="2" s="1"/>
  <c r="AJ1313" i="2" a="1"/>
  <c r="AJ1313" i="2" s="1"/>
  <c r="AJ1314" i="2" a="1"/>
  <c r="AJ1314" i="2" s="1"/>
  <c r="AJ1315" i="2" a="1"/>
  <c r="AJ1315" i="2" s="1"/>
  <c r="AJ1316" i="2" a="1"/>
  <c r="AJ1316" i="2" s="1"/>
  <c r="AJ1317" i="2" a="1"/>
  <c r="AJ1317" i="2" s="1"/>
  <c r="AJ1318" i="2" a="1"/>
  <c r="AJ1318" i="2" s="1"/>
  <c r="AJ1319" i="2" a="1"/>
  <c r="AJ1319" i="2" s="1"/>
  <c r="AJ1320" i="2" a="1"/>
  <c r="AJ1320" i="2" s="1"/>
  <c r="AJ1321" i="2" a="1"/>
  <c r="AJ1321" i="2" s="1"/>
  <c r="AJ1322" i="2" a="1"/>
  <c r="AJ1322" i="2" s="1"/>
  <c r="AJ1323" i="2" a="1"/>
  <c r="AJ1323" i="2" s="1"/>
  <c r="AJ1324" i="2" a="1"/>
  <c r="AJ1324" i="2" s="1"/>
  <c r="AJ1325" i="2" a="1"/>
  <c r="AJ1325" i="2" s="1"/>
  <c r="AJ1326" i="2" a="1"/>
  <c r="AJ1326" i="2" s="1"/>
  <c r="AJ1327" i="2" a="1"/>
  <c r="AJ1327" i="2" s="1"/>
  <c r="AJ1328" i="2" a="1"/>
  <c r="AJ1328" i="2" s="1"/>
  <c r="AJ1329" i="2" a="1"/>
  <c r="AJ1329" i="2" s="1"/>
  <c r="AJ1330" i="2" a="1"/>
  <c r="AJ1330" i="2" s="1"/>
  <c r="AJ1331" i="2" a="1"/>
  <c r="AJ1331" i="2" s="1"/>
  <c r="AJ1332" i="2" a="1"/>
  <c r="AJ1332" i="2" s="1"/>
  <c r="AJ1333" i="2" a="1"/>
  <c r="AJ1333" i="2" s="1"/>
  <c r="AJ1334" i="2" a="1"/>
  <c r="AJ1334" i="2" s="1"/>
  <c r="AJ1335" i="2" a="1"/>
  <c r="AJ1335" i="2" s="1"/>
  <c r="AJ1336" i="2" a="1"/>
  <c r="AJ1336" i="2" s="1"/>
  <c r="AJ1337" i="2" a="1"/>
  <c r="AJ1337" i="2" s="1"/>
  <c r="AJ1338" i="2" a="1"/>
  <c r="AJ1338" i="2" s="1"/>
  <c r="AJ1339" i="2" a="1"/>
  <c r="AJ1339" i="2" s="1"/>
  <c r="AJ1340" i="2" a="1"/>
  <c r="AJ1340" i="2" s="1"/>
  <c r="AJ1341" i="2" a="1"/>
  <c r="AJ1341" i="2" s="1"/>
  <c r="AJ1342" i="2" a="1"/>
  <c r="AJ1342" i="2" s="1"/>
  <c r="AJ1343" i="2" a="1"/>
  <c r="AJ1343" i="2" s="1"/>
  <c r="AJ1344" i="2" a="1"/>
  <c r="AJ1344" i="2" s="1"/>
  <c r="AJ1345" i="2" a="1"/>
  <c r="AJ1345" i="2" s="1"/>
  <c r="AJ1346" i="2" a="1"/>
  <c r="AJ1346" i="2" s="1"/>
  <c r="AJ1347" i="2" a="1"/>
  <c r="AJ1347" i="2" s="1"/>
  <c r="AJ1348" i="2" a="1"/>
  <c r="AJ1348" i="2" s="1"/>
  <c r="AJ1349" i="2" a="1"/>
  <c r="AJ1349" i="2" s="1"/>
  <c r="AJ1350" i="2" a="1"/>
  <c r="AJ1350" i="2" s="1"/>
  <c r="AJ1351" i="2" a="1"/>
  <c r="AJ1351" i="2" s="1"/>
  <c r="AJ1352" i="2" a="1"/>
  <c r="AJ1352" i="2" s="1"/>
  <c r="AJ1353" i="2" a="1"/>
  <c r="AJ1353" i="2" s="1"/>
  <c r="AJ1354" i="2" a="1"/>
  <c r="AJ1354" i="2" s="1"/>
  <c r="AJ1355" i="2" a="1"/>
  <c r="AJ1355" i="2" s="1"/>
  <c r="AJ1356" i="2" a="1"/>
  <c r="AJ1356" i="2" s="1"/>
  <c r="AJ1357" i="2" a="1"/>
  <c r="AJ1357" i="2" s="1"/>
  <c r="AJ1358" i="2" a="1"/>
  <c r="AJ1358" i="2" s="1"/>
  <c r="AJ1359" i="2" a="1"/>
  <c r="AJ1359" i="2" s="1"/>
  <c r="AJ1360" i="2" a="1"/>
  <c r="AJ1360" i="2" s="1"/>
  <c r="AJ1361" i="2" a="1"/>
  <c r="AJ1361" i="2" s="1"/>
  <c r="AJ1362" i="2" a="1"/>
  <c r="AJ1362" i="2" s="1"/>
  <c r="AJ1363" i="2" a="1"/>
  <c r="AJ1363" i="2" s="1"/>
  <c r="AJ1364" i="2" a="1"/>
  <c r="AJ1364" i="2" s="1"/>
  <c r="AJ1365" i="2" a="1"/>
  <c r="AJ1365" i="2" s="1"/>
  <c r="AJ1366" i="2" a="1"/>
  <c r="AJ1366" i="2" s="1"/>
  <c r="AJ1367" i="2" a="1"/>
  <c r="AJ1367" i="2" s="1"/>
  <c r="AJ1368" i="2" a="1"/>
  <c r="AJ1368" i="2" s="1"/>
  <c r="AJ1369" i="2" a="1"/>
  <c r="AJ1369" i="2" s="1"/>
  <c r="AJ1370" i="2" a="1"/>
  <c r="AJ1370" i="2" s="1"/>
  <c r="AJ1371" i="2" a="1"/>
  <c r="AJ1371" i="2" s="1"/>
  <c r="AJ1372" i="2" a="1"/>
  <c r="AJ1372" i="2" s="1"/>
  <c r="AJ1373" i="2" a="1"/>
  <c r="AJ1373" i="2" s="1"/>
  <c r="AJ1374" i="2" a="1"/>
  <c r="AJ1374" i="2" s="1"/>
  <c r="AJ1375" i="2" a="1"/>
  <c r="AJ1375" i="2" s="1"/>
  <c r="AJ1376" i="2" a="1"/>
  <c r="AJ1376" i="2" s="1"/>
  <c r="AJ1377" i="2" a="1"/>
  <c r="AJ1377" i="2" s="1"/>
  <c r="AJ1378" i="2" a="1"/>
  <c r="AJ1378" i="2" s="1"/>
  <c r="AJ1379" i="2" a="1"/>
  <c r="AJ1379" i="2" s="1"/>
  <c r="AJ1380" i="2" a="1"/>
  <c r="AJ1380" i="2" s="1"/>
  <c r="AJ1381" i="2" a="1"/>
  <c r="AJ1381" i="2" s="1"/>
  <c r="AJ1382" i="2" a="1"/>
  <c r="AJ1382" i="2" s="1"/>
  <c r="AJ1383" i="2" a="1"/>
  <c r="AJ1383" i="2" s="1"/>
  <c r="AJ1384" i="2" a="1"/>
  <c r="AJ1384" i="2" s="1"/>
  <c r="AJ1385" i="2" a="1"/>
  <c r="AJ1385" i="2" s="1"/>
  <c r="AJ1386" i="2" a="1"/>
  <c r="AJ1386" i="2" s="1"/>
  <c r="AJ1387" i="2" a="1"/>
  <c r="AJ1387" i="2" s="1"/>
  <c r="AJ1388" i="2" a="1"/>
  <c r="AJ1388" i="2" s="1"/>
  <c r="AJ1389" i="2" a="1"/>
  <c r="AJ1389" i="2" s="1"/>
  <c r="AJ1390" i="2" a="1"/>
  <c r="AJ1390" i="2" s="1"/>
  <c r="AJ1391" i="2" a="1"/>
  <c r="AJ1391" i="2" s="1"/>
  <c r="AJ1392" i="2" a="1"/>
  <c r="AJ1392" i="2" s="1"/>
  <c r="AJ1393" i="2" a="1"/>
  <c r="AJ1393" i="2" s="1"/>
  <c r="AJ1394" i="2" a="1"/>
  <c r="AJ1394" i="2" s="1"/>
  <c r="AJ1395" i="2" a="1"/>
  <c r="AJ1395" i="2" s="1"/>
  <c r="AJ1396" i="2" a="1"/>
  <c r="AJ1396" i="2" s="1"/>
  <c r="AJ1397" i="2" a="1"/>
  <c r="AJ1397" i="2" s="1"/>
  <c r="AJ1398" i="2" a="1"/>
  <c r="AJ1398" i="2" s="1"/>
  <c r="AJ1399" i="2" a="1"/>
  <c r="AJ1399" i="2" s="1"/>
  <c r="AJ1400" i="2" a="1"/>
  <c r="AJ1400" i="2" s="1"/>
  <c r="AJ1401" i="2" a="1"/>
  <c r="AJ1401" i="2" s="1"/>
  <c r="AJ1402" i="2" a="1"/>
  <c r="AJ1402" i="2" s="1"/>
  <c r="AJ1403" i="2" a="1"/>
  <c r="AJ1403" i="2" s="1"/>
  <c r="AJ1404" i="2" a="1"/>
  <c r="AJ1404" i="2" s="1"/>
  <c r="AJ1405" i="2" a="1"/>
  <c r="AJ1405" i="2" s="1"/>
  <c r="AJ1406" i="2" a="1"/>
  <c r="AJ1406" i="2" s="1"/>
  <c r="AJ1407" i="2" a="1"/>
  <c r="AJ1407" i="2" s="1"/>
  <c r="AJ1408" i="2" a="1"/>
  <c r="AJ1408" i="2" s="1"/>
  <c r="AJ1409" i="2" a="1"/>
  <c r="AJ1409" i="2" s="1"/>
  <c r="AJ1410" i="2" a="1"/>
  <c r="AJ1410" i="2" s="1"/>
  <c r="AJ1411" i="2" a="1"/>
  <c r="AJ1411" i="2" s="1"/>
  <c r="AJ1412" i="2" a="1"/>
  <c r="AJ1412" i="2" s="1"/>
  <c r="AJ1413" i="2" a="1"/>
  <c r="AJ1413" i="2" s="1"/>
  <c r="AJ1414" i="2" a="1"/>
  <c r="AJ1414" i="2" s="1"/>
  <c r="AJ1415" i="2" a="1"/>
  <c r="AJ1415" i="2" s="1"/>
  <c r="AJ1416" i="2" a="1"/>
  <c r="AJ1416" i="2" s="1"/>
  <c r="AJ1417" i="2" a="1"/>
  <c r="AJ1417" i="2" s="1"/>
  <c r="AJ1418" i="2" a="1"/>
  <c r="AJ1418" i="2" s="1"/>
  <c r="AJ1419" i="2" a="1"/>
  <c r="AJ1419" i="2" s="1"/>
  <c r="AJ1420" i="2" a="1"/>
  <c r="AJ1420" i="2" s="1"/>
  <c r="AJ1421" i="2" a="1"/>
  <c r="AJ1421" i="2" s="1"/>
  <c r="AJ1422" i="2" a="1"/>
  <c r="AJ1422" i="2" s="1"/>
  <c r="AJ1423" i="2" a="1"/>
  <c r="AJ1423" i="2" s="1"/>
  <c r="AJ1424" i="2" a="1"/>
  <c r="AJ1424" i="2" s="1"/>
  <c r="AJ1425" i="2" a="1"/>
  <c r="AJ1425" i="2" s="1"/>
  <c r="AJ1426" i="2" a="1"/>
  <c r="AJ1426" i="2" s="1"/>
  <c r="AJ1427" i="2" a="1"/>
  <c r="AJ1427" i="2" s="1"/>
  <c r="AJ1428" i="2" a="1"/>
  <c r="AJ1428" i="2" s="1"/>
  <c r="AJ1429" i="2" a="1"/>
  <c r="AJ1429" i="2" s="1"/>
  <c r="AJ1430" i="2" a="1"/>
  <c r="AJ1430" i="2" s="1"/>
  <c r="AJ1431" i="2" a="1"/>
  <c r="AJ1431" i="2" s="1"/>
  <c r="AJ1432" i="2" a="1"/>
  <c r="AJ1432" i="2" s="1"/>
  <c r="AJ1433" i="2" a="1"/>
  <c r="AJ1433" i="2" s="1"/>
  <c r="AJ1434" i="2" a="1"/>
  <c r="AJ1434" i="2" s="1"/>
  <c r="AJ1435" i="2" a="1"/>
  <c r="AJ1435" i="2" s="1"/>
  <c r="AJ1436" i="2" a="1"/>
  <c r="AJ1436" i="2" s="1"/>
  <c r="AJ1437" i="2" a="1"/>
  <c r="AJ1437" i="2" s="1"/>
  <c r="AJ1438" i="2" a="1"/>
  <c r="AJ1438" i="2" s="1"/>
  <c r="AJ1439" i="2" a="1"/>
  <c r="AJ1439" i="2" s="1"/>
  <c r="AJ1440" i="2" a="1"/>
  <c r="AJ1440" i="2" s="1"/>
  <c r="AJ1441" i="2" a="1"/>
  <c r="AJ1441" i="2" s="1"/>
  <c r="AJ1442" i="2" a="1"/>
  <c r="AJ1442" i="2" s="1"/>
  <c r="AJ1443" i="2" a="1"/>
  <c r="AJ1443" i="2" s="1"/>
  <c r="AJ1444" i="2" a="1"/>
  <c r="AJ1444" i="2" s="1"/>
  <c r="AJ1445" i="2" a="1"/>
  <c r="AJ1445" i="2" s="1"/>
  <c r="AJ1446" i="2" a="1"/>
  <c r="AJ1446" i="2" s="1"/>
  <c r="AJ1447" i="2" a="1"/>
  <c r="AJ1447" i="2" s="1"/>
  <c r="AJ1448" i="2" a="1"/>
  <c r="AJ1448" i="2" s="1"/>
  <c r="AJ1449" i="2" a="1"/>
  <c r="AJ1449" i="2" s="1"/>
  <c r="AJ1450" i="2" a="1"/>
  <c r="AJ1450" i="2" s="1"/>
  <c r="AJ1451" i="2" a="1"/>
  <c r="AJ1451" i="2" s="1"/>
  <c r="AJ1452" i="2" a="1"/>
  <c r="AJ1452" i="2" s="1"/>
  <c r="AJ1453" i="2" a="1"/>
  <c r="AJ1453" i="2" s="1"/>
  <c r="AJ1454" i="2" a="1"/>
  <c r="AJ1454" i="2" s="1"/>
  <c r="AJ1455" i="2" a="1"/>
  <c r="AJ1455" i="2" s="1"/>
  <c r="AJ1456" i="2" a="1"/>
  <c r="AJ1456" i="2" s="1"/>
  <c r="AJ1457" i="2" a="1"/>
  <c r="AJ1457" i="2" s="1"/>
  <c r="AJ1458" i="2" a="1"/>
  <c r="AJ1458" i="2" s="1"/>
  <c r="AJ1459" i="2" a="1"/>
  <c r="AJ1459" i="2" s="1"/>
  <c r="AJ1460" i="2" a="1"/>
  <c r="AJ1460" i="2" s="1"/>
  <c r="AJ1461" i="2" a="1"/>
  <c r="AJ1461" i="2" s="1"/>
  <c r="AJ1462" i="2" a="1"/>
  <c r="AJ1462" i="2" s="1"/>
  <c r="AJ1463" i="2" a="1"/>
  <c r="AJ1463" i="2" s="1"/>
  <c r="AJ1464" i="2" a="1"/>
  <c r="AJ1464" i="2" s="1"/>
  <c r="AJ1465" i="2" a="1"/>
  <c r="AJ1465" i="2" s="1"/>
  <c r="AJ1466" i="2" a="1"/>
  <c r="AJ1466" i="2" s="1"/>
  <c r="AJ1467" i="2" a="1"/>
  <c r="AJ1467" i="2" s="1"/>
  <c r="AJ1468" i="2" a="1"/>
  <c r="AJ1468" i="2" s="1"/>
  <c r="AJ1469" i="2" a="1"/>
  <c r="AJ1469" i="2" s="1"/>
  <c r="AJ1470" i="2" a="1"/>
  <c r="AJ1470" i="2" s="1"/>
  <c r="AJ1471" i="2" a="1"/>
  <c r="AJ1471" i="2" s="1"/>
  <c r="AJ1472" i="2" a="1"/>
  <c r="AJ1472" i="2" s="1"/>
  <c r="AJ1473" i="2" a="1"/>
  <c r="AJ1473" i="2" s="1"/>
  <c r="AJ1474" i="2" a="1"/>
  <c r="AJ1474" i="2" s="1"/>
  <c r="AJ1475" i="2" a="1"/>
  <c r="AJ1475" i="2" s="1"/>
  <c r="AJ1476" i="2" a="1"/>
  <c r="AJ1476" i="2" s="1"/>
  <c r="AJ1477" i="2" a="1"/>
  <c r="AJ1477" i="2" s="1"/>
  <c r="AJ1478" i="2" a="1"/>
  <c r="AJ1478" i="2" s="1"/>
  <c r="AJ1479" i="2" a="1"/>
  <c r="AJ1479" i="2" s="1"/>
  <c r="AJ1480" i="2" a="1"/>
  <c r="AJ1480" i="2" s="1"/>
  <c r="AJ1481" i="2" a="1"/>
  <c r="AJ1481" i="2" s="1"/>
  <c r="AJ1482" i="2" a="1"/>
  <c r="AJ1482" i="2" s="1"/>
  <c r="AJ1483" i="2" a="1"/>
  <c r="AJ1483" i="2" s="1"/>
  <c r="AJ1484" i="2" a="1"/>
  <c r="AJ1484" i="2" s="1"/>
  <c r="AJ1485" i="2" a="1"/>
  <c r="AJ1485" i="2" s="1"/>
  <c r="AJ1486" i="2" a="1"/>
  <c r="AJ1486" i="2" s="1"/>
  <c r="AJ1487" i="2" a="1"/>
  <c r="AJ1487" i="2" s="1"/>
  <c r="AJ1488" i="2" a="1"/>
  <c r="AJ1488" i="2" s="1"/>
  <c r="AJ1489" i="2" a="1"/>
  <c r="AJ1489" i="2" s="1"/>
  <c r="AJ1490" i="2" a="1"/>
  <c r="AJ1490" i="2" s="1"/>
  <c r="AJ1491" i="2" a="1"/>
  <c r="AJ1491" i="2" s="1"/>
  <c r="AJ1492" i="2" a="1"/>
  <c r="AJ1492" i="2" s="1"/>
  <c r="AJ1493" i="2" a="1"/>
  <c r="AJ1493" i="2" s="1"/>
  <c r="AJ1494" i="2" a="1"/>
  <c r="AJ1494" i="2" s="1"/>
  <c r="AJ1495" i="2" a="1"/>
  <c r="AJ1495" i="2" s="1"/>
  <c r="AJ1496" i="2" a="1"/>
  <c r="AJ1496" i="2" s="1"/>
  <c r="AJ1497" i="2" a="1"/>
  <c r="AJ1497" i="2" s="1"/>
  <c r="AJ1498" i="2" a="1"/>
  <c r="AJ1498" i="2" s="1"/>
  <c r="AJ1499" i="2" a="1"/>
  <c r="AJ1499" i="2" s="1"/>
  <c r="AJ1500" i="2" a="1"/>
  <c r="AJ1500" i="2" s="1"/>
  <c r="AJ1501" i="2" a="1"/>
  <c r="AJ1501" i="2" s="1"/>
  <c r="AJ1502" i="2" a="1"/>
  <c r="AJ1502" i="2" s="1"/>
  <c r="AJ1503" i="2" a="1"/>
  <c r="AJ1503" i="2" s="1"/>
  <c r="AJ1504" i="2" a="1"/>
  <c r="AJ1504" i="2" s="1"/>
  <c r="AJ1505" i="2" a="1"/>
  <c r="AJ1505" i="2" s="1"/>
  <c r="AJ1506" i="2" a="1"/>
  <c r="AJ1506" i="2" s="1"/>
  <c r="AJ1507" i="2" a="1"/>
  <c r="AJ1507" i="2" s="1"/>
  <c r="AJ1508" i="2" a="1"/>
  <c r="AJ1508" i="2" s="1"/>
  <c r="AJ1509" i="2" a="1"/>
  <c r="AJ1509" i="2" s="1"/>
  <c r="AJ1510" i="2" a="1"/>
  <c r="AJ1510" i="2" s="1"/>
  <c r="AJ1511" i="2" a="1"/>
  <c r="AJ1511" i="2" s="1"/>
  <c r="AJ1512" i="2" a="1"/>
  <c r="AJ1512" i="2" s="1"/>
  <c r="AJ1513" i="2" a="1"/>
  <c r="AJ1513" i="2" s="1"/>
  <c r="AJ1514" i="2" a="1"/>
  <c r="AJ1514" i="2" s="1"/>
  <c r="AJ1515" i="2" a="1"/>
  <c r="AJ1515" i="2" s="1"/>
  <c r="AJ1516" i="2" a="1"/>
  <c r="AJ1516" i="2" s="1"/>
  <c r="AJ1517" i="2" a="1"/>
  <c r="AJ1517" i="2" s="1"/>
  <c r="AJ1518" i="2" a="1"/>
  <c r="AJ1518" i="2" s="1"/>
  <c r="AJ1519" i="2" a="1"/>
  <c r="AJ1519" i="2" s="1"/>
  <c r="AJ1520" i="2" a="1"/>
  <c r="AJ1520" i="2" s="1"/>
  <c r="AJ1521" i="2" a="1"/>
  <c r="AJ1521" i="2" s="1"/>
  <c r="AJ1522" i="2" a="1"/>
  <c r="AJ1522" i="2" s="1"/>
  <c r="AJ1523" i="2" a="1"/>
  <c r="AJ1523" i="2" s="1"/>
  <c r="AJ1524" i="2" a="1"/>
  <c r="AJ1524" i="2" s="1"/>
  <c r="AJ1525" i="2" a="1"/>
  <c r="AJ1525" i="2" s="1"/>
  <c r="AJ1526" i="2" a="1"/>
  <c r="AJ1526" i="2" s="1"/>
  <c r="AJ1527" i="2" a="1"/>
  <c r="AJ1527" i="2" s="1"/>
  <c r="AJ1528" i="2" a="1"/>
  <c r="AJ1528" i="2" s="1"/>
  <c r="AJ1529" i="2" a="1"/>
  <c r="AJ1529" i="2" s="1"/>
  <c r="AJ1530" i="2" a="1"/>
  <c r="AJ1530" i="2" s="1"/>
  <c r="AJ1531" i="2" a="1"/>
  <c r="AJ1531" i="2" s="1"/>
  <c r="AJ1532" i="2" a="1"/>
  <c r="AJ1532" i="2" s="1"/>
  <c r="AJ1533" i="2" a="1"/>
  <c r="AJ1533" i="2" s="1"/>
  <c r="AJ1534" i="2" a="1"/>
  <c r="AJ1534" i="2" s="1"/>
  <c r="AJ1535" i="2" a="1"/>
  <c r="AJ1535" i="2" s="1"/>
  <c r="AJ1536" i="2" a="1"/>
  <c r="AJ1536" i="2" s="1"/>
  <c r="AJ1537" i="2" a="1"/>
  <c r="AJ1537" i="2" s="1"/>
  <c r="AJ1538" i="2" a="1"/>
  <c r="AJ1538" i="2" s="1"/>
  <c r="AJ1539" i="2" a="1"/>
  <c r="AJ1539" i="2" s="1"/>
  <c r="AJ1540" i="2" a="1"/>
  <c r="AJ1540" i="2" s="1"/>
  <c r="AJ1541" i="2" a="1"/>
  <c r="AJ1541" i="2" s="1"/>
  <c r="AJ1542" i="2" a="1"/>
  <c r="AJ1542" i="2" s="1"/>
  <c r="AJ1543" i="2" a="1"/>
  <c r="AJ1543" i="2" s="1"/>
  <c r="AJ1544" i="2" a="1"/>
  <c r="AJ1544" i="2" s="1"/>
  <c r="AJ1545" i="2" a="1"/>
  <c r="AJ1545" i="2" s="1"/>
  <c r="AJ1546" i="2" a="1"/>
  <c r="AJ1546" i="2" s="1"/>
  <c r="AJ1547" i="2" a="1"/>
  <c r="AJ1547" i="2" s="1"/>
  <c r="AJ1548" i="2" a="1"/>
  <c r="AJ1548" i="2" s="1"/>
  <c r="AJ1549" i="2" a="1"/>
  <c r="AJ1549" i="2" s="1"/>
  <c r="AJ1550" i="2" a="1"/>
  <c r="AJ1550" i="2" s="1"/>
  <c r="AJ1551" i="2" a="1"/>
  <c r="AJ1551" i="2" s="1"/>
  <c r="AJ1552" i="2" a="1"/>
  <c r="AJ1552" i="2" s="1"/>
  <c r="AJ1553" i="2" a="1"/>
  <c r="AJ1553" i="2" s="1"/>
  <c r="AJ1554" i="2" a="1"/>
  <c r="AJ1554" i="2" s="1"/>
  <c r="AJ1555" i="2" a="1"/>
  <c r="AJ1555" i="2" s="1"/>
  <c r="AJ1556" i="2" a="1"/>
  <c r="AJ1556" i="2" s="1"/>
  <c r="AJ1557" i="2" a="1"/>
  <c r="AJ1557" i="2" s="1"/>
  <c r="AJ1558" i="2" a="1"/>
  <c r="AJ1558" i="2" s="1"/>
  <c r="AJ1559" i="2" a="1"/>
  <c r="AJ1559" i="2" s="1"/>
  <c r="AJ1560" i="2" a="1"/>
  <c r="AJ1560" i="2" s="1"/>
  <c r="AJ1561" i="2" a="1"/>
  <c r="AJ1561" i="2" s="1"/>
  <c r="AJ1562" i="2" a="1"/>
  <c r="AJ1562" i="2" s="1"/>
  <c r="AJ1563" i="2" a="1"/>
  <c r="AJ1563" i="2" s="1"/>
  <c r="AJ1564" i="2" a="1"/>
  <c r="AJ1564" i="2" s="1"/>
  <c r="AJ1565" i="2" a="1"/>
  <c r="AJ1565" i="2" s="1"/>
  <c r="AJ1566" i="2" a="1"/>
  <c r="AJ1566" i="2" s="1"/>
  <c r="AJ1567" i="2" a="1"/>
  <c r="AJ1567" i="2" s="1"/>
  <c r="AJ1568" i="2" a="1"/>
  <c r="AJ1568" i="2" s="1"/>
  <c r="AJ1569" i="2" a="1"/>
  <c r="AJ1569" i="2" s="1"/>
  <c r="AJ1570" i="2" a="1"/>
  <c r="AJ1570" i="2" s="1"/>
  <c r="AJ1571" i="2" a="1"/>
  <c r="AJ1571" i="2" s="1"/>
  <c r="AJ1572" i="2" a="1"/>
  <c r="AJ1572" i="2" s="1"/>
  <c r="AJ1573" i="2" a="1"/>
  <c r="AJ1573" i="2" s="1"/>
  <c r="AJ1574" i="2" a="1"/>
  <c r="AJ1574" i="2" s="1"/>
  <c r="AJ1575" i="2" a="1"/>
  <c r="AJ1575" i="2" s="1"/>
  <c r="AJ1576" i="2" a="1"/>
  <c r="AJ1576" i="2" s="1"/>
  <c r="AJ1577" i="2" a="1"/>
  <c r="AJ1577" i="2" s="1"/>
  <c r="AJ1578" i="2" a="1"/>
  <c r="AJ1578" i="2" s="1"/>
  <c r="AJ1579" i="2" a="1"/>
  <c r="AJ1579" i="2" s="1"/>
  <c r="AJ1580" i="2" a="1"/>
  <c r="AJ1580" i="2" s="1"/>
  <c r="AJ1581" i="2" a="1"/>
  <c r="AJ1581" i="2" s="1"/>
  <c r="AJ1582" i="2" a="1"/>
  <c r="AJ1582" i="2" s="1"/>
  <c r="AJ1583" i="2" a="1"/>
  <c r="AJ1583" i="2" s="1"/>
  <c r="AJ1584" i="2" a="1"/>
  <c r="AJ1584" i="2" s="1"/>
  <c r="AJ1585" i="2" a="1"/>
  <c r="AJ1585" i="2" s="1"/>
  <c r="AJ1586" i="2" a="1"/>
  <c r="AJ1586" i="2" s="1"/>
  <c r="AJ1587" i="2" a="1"/>
  <c r="AJ1587" i="2" s="1"/>
  <c r="AJ1588" i="2" a="1"/>
  <c r="AJ1588" i="2" s="1"/>
  <c r="AJ1589" i="2" a="1"/>
  <c r="AJ1589" i="2" s="1"/>
  <c r="AJ1590" i="2" a="1"/>
  <c r="AJ1590" i="2" s="1"/>
  <c r="AJ1591" i="2" a="1"/>
  <c r="AJ1591" i="2" s="1"/>
  <c r="AJ1592" i="2" a="1"/>
  <c r="AJ1592" i="2" s="1"/>
  <c r="AJ1593" i="2" a="1"/>
  <c r="AJ1593" i="2" s="1"/>
  <c r="AJ1594" i="2" a="1"/>
  <c r="AJ1594" i="2" s="1"/>
  <c r="AJ1595" i="2" a="1"/>
  <c r="AJ1595" i="2" s="1"/>
  <c r="AJ1596" i="2" a="1"/>
  <c r="AJ1596" i="2" s="1"/>
  <c r="AJ1597" i="2" a="1"/>
  <c r="AJ1597" i="2" s="1"/>
  <c r="AJ1598" i="2" a="1"/>
  <c r="AJ1598" i="2" s="1"/>
  <c r="AJ1599" i="2" a="1"/>
  <c r="AJ1599" i="2" s="1"/>
  <c r="AJ1600" i="2" a="1"/>
  <c r="AJ1600" i="2" s="1"/>
  <c r="AJ1601" i="2" a="1"/>
  <c r="AJ1601" i="2" s="1"/>
  <c r="AJ1602" i="2" a="1"/>
  <c r="AJ1602" i="2" s="1"/>
  <c r="AJ1603" i="2" a="1"/>
  <c r="AJ1603" i="2" s="1"/>
  <c r="AJ1604" i="2" a="1"/>
  <c r="AJ1604" i="2" s="1"/>
  <c r="AJ1605" i="2" a="1"/>
  <c r="AJ1605" i="2" s="1"/>
  <c r="AJ1606" i="2" a="1"/>
  <c r="AJ1606" i="2" s="1"/>
  <c r="AJ1607" i="2" a="1"/>
  <c r="AJ1607" i="2" s="1"/>
  <c r="AJ1608" i="2" a="1"/>
  <c r="AJ1608" i="2" s="1"/>
  <c r="AJ1609" i="2" a="1"/>
  <c r="AJ1609" i="2" s="1"/>
  <c r="AJ1610" i="2" a="1"/>
  <c r="AJ1610" i="2" s="1"/>
  <c r="AJ1611" i="2" a="1"/>
  <c r="AJ1611" i="2" s="1"/>
  <c r="AJ1612" i="2" a="1"/>
  <c r="AJ1612" i="2" s="1"/>
  <c r="AJ1613" i="2" a="1"/>
  <c r="AJ1613" i="2" s="1"/>
  <c r="AJ1614" i="2" a="1"/>
  <c r="AJ1614" i="2" s="1"/>
  <c r="AJ1615" i="2" a="1"/>
  <c r="AJ1615" i="2" s="1"/>
  <c r="AJ1616" i="2" a="1"/>
  <c r="AJ1616" i="2" s="1"/>
  <c r="AJ1617" i="2" a="1"/>
  <c r="AJ1617" i="2" s="1"/>
  <c r="AJ1618" i="2" a="1"/>
  <c r="AJ1618" i="2" s="1"/>
  <c r="AJ1619" i="2" a="1"/>
  <c r="AJ1619" i="2" s="1"/>
  <c r="AJ1620" i="2" a="1"/>
  <c r="AJ1620" i="2" s="1"/>
  <c r="AJ1621" i="2" a="1"/>
  <c r="AJ1621" i="2" s="1"/>
  <c r="AJ1622" i="2" a="1"/>
  <c r="AJ1622" i="2" s="1"/>
  <c r="AJ1623" i="2" a="1"/>
  <c r="AJ1623" i="2" s="1"/>
  <c r="AJ1624" i="2" a="1"/>
  <c r="AJ1624" i="2" s="1"/>
  <c r="AJ1625" i="2" a="1"/>
  <c r="AJ1625" i="2" s="1"/>
  <c r="AJ1626" i="2" a="1"/>
  <c r="AJ1626" i="2" s="1"/>
  <c r="AJ1627" i="2" a="1"/>
  <c r="AJ1627" i="2" s="1"/>
  <c r="AJ1628" i="2" a="1"/>
  <c r="AJ1628" i="2" s="1"/>
  <c r="AJ1629" i="2" a="1"/>
  <c r="AJ1629" i="2" s="1"/>
  <c r="AJ1630" i="2" a="1"/>
  <c r="AJ1630" i="2" s="1"/>
  <c r="AJ1631" i="2" a="1"/>
  <c r="AJ1631" i="2" s="1"/>
  <c r="AJ1632" i="2" a="1"/>
  <c r="AJ1632" i="2" s="1"/>
  <c r="AJ1633" i="2" a="1"/>
  <c r="AJ1633" i="2" s="1"/>
  <c r="AJ1634" i="2" a="1"/>
  <c r="AJ1634" i="2" s="1"/>
  <c r="AJ1635" i="2" a="1"/>
  <c r="AJ1635" i="2" s="1"/>
  <c r="AJ1636" i="2" a="1"/>
  <c r="AJ1636" i="2" s="1"/>
  <c r="AJ1637" i="2" a="1"/>
  <c r="AJ1637" i="2" s="1"/>
  <c r="AJ1638" i="2" a="1"/>
  <c r="AJ1638" i="2" s="1"/>
  <c r="AJ1639" i="2" a="1"/>
  <c r="AJ1639" i="2" s="1"/>
  <c r="AJ1640" i="2" a="1"/>
  <c r="AJ1640" i="2" s="1"/>
  <c r="AJ1641" i="2" a="1"/>
  <c r="AJ1641" i="2" s="1"/>
  <c r="AJ1642" i="2" a="1"/>
  <c r="AJ1642" i="2" s="1"/>
  <c r="AJ1643" i="2" a="1"/>
  <c r="AJ1643" i="2" s="1"/>
  <c r="AJ1644" i="2" a="1"/>
  <c r="AJ1644" i="2" s="1"/>
  <c r="AJ1645" i="2" a="1"/>
  <c r="AJ1645" i="2" s="1"/>
  <c r="AJ1646" i="2" a="1"/>
  <c r="AJ1646" i="2" s="1"/>
  <c r="AJ1647" i="2" a="1"/>
  <c r="AJ1647" i="2" s="1"/>
  <c r="AJ1648" i="2" a="1"/>
  <c r="AJ1648" i="2" s="1"/>
  <c r="AJ1649" i="2" a="1"/>
  <c r="AJ1649" i="2" s="1"/>
  <c r="AJ1650" i="2" a="1"/>
  <c r="AJ1650" i="2" s="1"/>
  <c r="AJ1651" i="2" a="1"/>
  <c r="AJ1651" i="2" s="1"/>
  <c r="AJ1652" i="2" a="1"/>
  <c r="AJ1652" i="2" s="1"/>
  <c r="AJ1653" i="2" a="1"/>
  <c r="AJ1653" i="2" s="1"/>
  <c r="AJ1654" i="2" a="1"/>
  <c r="AJ1654" i="2" s="1"/>
  <c r="AJ1655" i="2" a="1"/>
  <c r="AJ1655" i="2" s="1"/>
  <c r="AJ1656" i="2" a="1"/>
  <c r="AJ1656" i="2" s="1"/>
  <c r="AJ1657" i="2" a="1"/>
  <c r="AJ1657" i="2" s="1"/>
  <c r="AJ1658" i="2" a="1"/>
  <c r="AJ1658" i="2" s="1"/>
  <c r="AJ1659" i="2" a="1"/>
  <c r="AJ1659" i="2" s="1"/>
  <c r="AJ1660" i="2" a="1"/>
  <c r="AJ1660" i="2" s="1"/>
  <c r="AJ1661" i="2" a="1"/>
  <c r="AJ1661" i="2" s="1"/>
  <c r="AJ1662" i="2" a="1"/>
  <c r="AJ1662" i="2" s="1"/>
  <c r="AJ1663" i="2" a="1"/>
  <c r="AJ1663" i="2" s="1"/>
  <c r="AJ1664" i="2" a="1"/>
  <c r="AJ1664" i="2" s="1"/>
  <c r="AJ1665" i="2" a="1"/>
  <c r="AJ1665" i="2" s="1"/>
  <c r="AJ1666" i="2" a="1"/>
  <c r="AJ1666" i="2" s="1"/>
  <c r="AJ1667" i="2" a="1"/>
  <c r="AJ1667" i="2" s="1"/>
  <c r="AJ1668" i="2" a="1"/>
  <c r="AJ1668" i="2" s="1"/>
  <c r="AJ1669" i="2" a="1"/>
  <c r="AJ1669" i="2" s="1"/>
  <c r="AJ1670" i="2" a="1"/>
  <c r="AJ1670" i="2" s="1"/>
  <c r="AJ1671" i="2" a="1"/>
  <c r="AJ1671" i="2" s="1"/>
  <c r="AJ1672" i="2" a="1"/>
  <c r="AJ1672" i="2" s="1"/>
  <c r="AJ1673" i="2" a="1"/>
  <c r="AJ1673" i="2" s="1"/>
  <c r="AJ1674" i="2" a="1"/>
  <c r="AJ1674" i="2" s="1"/>
  <c r="AJ1675" i="2" a="1"/>
  <c r="AJ1675" i="2" s="1"/>
  <c r="AJ1676" i="2" a="1"/>
  <c r="AJ1676" i="2" s="1"/>
  <c r="AJ1677" i="2" a="1"/>
  <c r="AJ1677" i="2" s="1"/>
  <c r="AJ1678" i="2" a="1"/>
  <c r="AJ1678" i="2" s="1"/>
  <c r="AJ1679" i="2" a="1"/>
  <c r="AJ1679" i="2" s="1"/>
  <c r="AJ1680" i="2" a="1"/>
  <c r="AJ1680" i="2" s="1"/>
  <c r="AJ1681" i="2" a="1"/>
  <c r="AJ1681" i="2" s="1"/>
  <c r="AJ1682" i="2" a="1"/>
  <c r="AJ1682" i="2" s="1"/>
  <c r="AJ1683" i="2" a="1"/>
  <c r="AJ1683" i="2" s="1"/>
  <c r="AJ1684" i="2" a="1"/>
  <c r="AJ1684" i="2" s="1"/>
  <c r="AJ1685" i="2" a="1"/>
  <c r="AJ1685" i="2" s="1"/>
  <c r="AJ1686" i="2" a="1"/>
  <c r="AJ1686" i="2" s="1"/>
  <c r="AJ1687" i="2" a="1"/>
  <c r="AJ1687" i="2" s="1"/>
  <c r="AJ1688" i="2" a="1"/>
  <c r="AJ1688" i="2" s="1"/>
  <c r="AJ1689" i="2" a="1"/>
  <c r="AJ1689" i="2" s="1"/>
  <c r="AJ1690" i="2" a="1"/>
  <c r="AJ1690" i="2" s="1"/>
  <c r="AJ1691" i="2" a="1"/>
  <c r="AJ1691" i="2" s="1"/>
  <c r="AJ1692" i="2" a="1"/>
  <c r="AJ1692" i="2" s="1"/>
  <c r="AJ1693" i="2" a="1"/>
  <c r="AJ1693" i="2" s="1"/>
  <c r="AJ1694" i="2" a="1"/>
  <c r="AJ1694" i="2" s="1"/>
  <c r="AJ1695" i="2" a="1"/>
  <c r="AJ1695" i="2" s="1"/>
  <c r="AJ1696" i="2" a="1"/>
  <c r="AJ1696" i="2" s="1"/>
  <c r="AJ1697" i="2" a="1"/>
  <c r="AJ1697" i="2" s="1"/>
  <c r="AJ1698" i="2" a="1"/>
  <c r="AJ1698" i="2" s="1"/>
  <c r="AJ1699" i="2" a="1"/>
  <c r="AJ1699" i="2" s="1"/>
  <c r="AJ1700" i="2" a="1"/>
  <c r="AJ1700" i="2" s="1"/>
  <c r="AJ1701" i="2" a="1"/>
  <c r="AJ1701" i="2" s="1"/>
  <c r="AJ1702" i="2" a="1"/>
  <c r="AJ1702" i="2" s="1"/>
  <c r="AJ1703" i="2" a="1"/>
  <c r="AJ1703" i="2" s="1"/>
  <c r="AJ1704" i="2" a="1"/>
  <c r="AJ1704" i="2" s="1"/>
  <c r="AJ1705" i="2" a="1"/>
  <c r="AJ1705" i="2" s="1"/>
  <c r="AJ1706" i="2" a="1"/>
  <c r="AJ1706" i="2" s="1"/>
  <c r="AJ1707" i="2" a="1"/>
  <c r="AJ1707" i="2" s="1"/>
  <c r="AJ1708" i="2" a="1"/>
  <c r="AJ1708" i="2" s="1"/>
  <c r="AJ1709" i="2" a="1"/>
  <c r="AJ1709" i="2" s="1"/>
  <c r="AJ1710" i="2" a="1"/>
  <c r="AJ1710" i="2" s="1"/>
  <c r="AJ1711" i="2" a="1"/>
  <c r="AJ1711" i="2" s="1"/>
  <c r="AJ1712" i="2" a="1"/>
  <c r="AJ1712" i="2" s="1"/>
  <c r="AJ1713" i="2" a="1"/>
  <c r="AJ1713" i="2" s="1"/>
  <c r="AJ1714" i="2" a="1"/>
  <c r="AJ1714" i="2" s="1"/>
  <c r="AJ1715" i="2" a="1"/>
  <c r="AJ1715" i="2" s="1"/>
  <c r="AJ1716" i="2" a="1"/>
  <c r="AJ1716" i="2" s="1"/>
  <c r="AJ1717" i="2" a="1"/>
  <c r="AJ1717" i="2" s="1"/>
  <c r="AJ1718" i="2" a="1"/>
  <c r="AJ1718" i="2" s="1"/>
  <c r="AJ1719" i="2" a="1"/>
  <c r="AJ1719" i="2" s="1"/>
  <c r="AJ1720" i="2" a="1"/>
  <c r="AJ1720" i="2" s="1"/>
  <c r="AJ1721" i="2" a="1"/>
  <c r="AJ1721" i="2" s="1"/>
  <c r="AJ1722" i="2" a="1"/>
  <c r="AJ1722" i="2" s="1"/>
  <c r="AJ1723" i="2" a="1"/>
  <c r="AJ1723" i="2" s="1"/>
  <c r="AJ1724" i="2" a="1"/>
  <c r="AJ1724" i="2" s="1"/>
  <c r="AJ1725" i="2" a="1"/>
  <c r="AJ1725" i="2" s="1"/>
  <c r="AJ1726" i="2" a="1"/>
  <c r="AJ1726" i="2" s="1"/>
  <c r="AJ1727" i="2" a="1"/>
  <c r="AJ1727" i="2" s="1"/>
  <c r="AJ1728" i="2" a="1"/>
  <c r="AJ1728" i="2" s="1"/>
  <c r="AJ1729" i="2" a="1"/>
  <c r="AJ1729" i="2" s="1"/>
  <c r="AJ1730" i="2" a="1"/>
  <c r="AJ1730" i="2" s="1"/>
  <c r="AJ1731" i="2" a="1"/>
  <c r="AJ1731" i="2" s="1"/>
  <c r="AJ1732" i="2" a="1"/>
  <c r="AJ1732" i="2" s="1"/>
  <c r="AJ1733" i="2" a="1"/>
  <c r="AJ1733" i="2" s="1"/>
  <c r="AJ1734" i="2" a="1"/>
  <c r="AJ1734" i="2" s="1"/>
  <c r="AJ1735" i="2" a="1"/>
  <c r="AJ1735" i="2" s="1"/>
  <c r="AJ1736" i="2" a="1"/>
  <c r="AJ1736" i="2" s="1"/>
  <c r="AJ1737" i="2" a="1"/>
  <c r="AJ1737" i="2" s="1"/>
  <c r="AJ1738" i="2" a="1"/>
  <c r="AJ1738" i="2" s="1"/>
  <c r="AJ1739" i="2" a="1"/>
  <c r="AJ1739" i="2" s="1"/>
  <c r="AJ1740" i="2" a="1"/>
  <c r="AJ1740" i="2" s="1"/>
  <c r="AJ1741" i="2" a="1"/>
  <c r="AJ1741" i="2" s="1"/>
  <c r="AJ1742" i="2" a="1"/>
  <c r="AJ1742" i="2" s="1"/>
  <c r="AJ1743" i="2" a="1"/>
  <c r="AJ1743" i="2" s="1"/>
  <c r="AJ1744" i="2" a="1"/>
  <c r="AJ1744" i="2" s="1"/>
  <c r="AJ1745" i="2" a="1"/>
  <c r="AJ1745" i="2" s="1"/>
  <c r="AJ1746" i="2" a="1"/>
  <c r="AJ1746" i="2" s="1"/>
  <c r="AJ1747" i="2" a="1"/>
  <c r="AJ1747" i="2" s="1"/>
  <c r="AJ1748" i="2" a="1"/>
  <c r="AJ1748" i="2" s="1"/>
  <c r="AJ1749" i="2" a="1"/>
  <c r="AJ1749" i="2" s="1"/>
  <c r="AJ1750" i="2" a="1"/>
  <c r="AJ1750" i="2" s="1"/>
  <c r="AJ1751" i="2" a="1"/>
  <c r="AJ1751" i="2" s="1"/>
  <c r="AJ1752" i="2" a="1"/>
  <c r="AJ1752" i="2" s="1"/>
  <c r="AJ1753" i="2" a="1"/>
  <c r="AJ1753" i="2" s="1"/>
  <c r="AJ1754" i="2" a="1"/>
  <c r="AJ1754" i="2" s="1"/>
  <c r="AJ1755" i="2" a="1"/>
  <c r="AJ1755" i="2" s="1"/>
  <c r="AJ1756" i="2" a="1"/>
  <c r="AJ1756" i="2" s="1"/>
  <c r="AJ1757" i="2" a="1"/>
  <c r="AJ1757" i="2" s="1"/>
  <c r="AJ1758" i="2" a="1"/>
  <c r="AJ1758" i="2" s="1"/>
  <c r="AJ1759" i="2" a="1"/>
  <c r="AJ1759" i="2" s="1"/>
  <c r="AJ1760" i="2" a="1"/>
  <c r="AJ1760" i="2" s="1"/>
  <c r="AJ1761" i="2" a="1"/>
  <c r="AJ1761" i="2" s="1"/>
  <c r="AJ1762" i="2" a="1"/>
  <c r="AJ1762" i="2" s="1"/>
  <c r="AJ1763" i="2" a="1"/>
  <c r="AJ1763" i="2" s="1"/>
  <c r="AJ1764" i="2" a="1"/>
  <c r="AJ1764" i="2" s="1"/>
  <c r="AJ1765" i="2" a="1"/>
  <c r="AJ1765" i="2" s="1"/>
  <c r="AJ1766" i="2" a="1"/>
  <c r="AJ1766" i="2" s="1"/>
  <c r="AJ1767" i="2" a="1"/>
  <c r="AJ1767" i="2" s="1"/>
  <c r="AJ1768" i="2" a="1"/>
  <c r="AJ1768" i="2" s="1"/>
  <c r="AJ1769" i="2" a="1"/>
  <c r="AJ1769" i="2" s="1"/>
  <c r="AJ1770" i="2" a="1"/>
  <c r="AJ1770" i="2" s="1"/>
  <c r="AJ1771" i="2" a="1"/>
  <c r="AJ1771" i="2" s="1"/>
  <c r="AJ1772" i="2" a="1"/>
  <c r="AJ1772" i="2" s="1"/>
  <c r="AJ1773" i="2" a="1"/>
  <c r="AJ1773" i="2" s="1"/>
  <c r="AJ1774" i="2" a="1"/>
  <c r="AJ1774" i="2" s="1"/>
  <c r="AJ1775" i="2" a="1"/>
  <c r="AJ1775" i="2" s="1"/>
  <c r="AJ1776" i="2" a="1"/>
  <c r="AJ1776" i="2" s="1"/>
  <c r="AJ1777" i="2" a="1"/>
  <c r="AJ1777" i="2" s="1"/>
  <c r="AJ1778" i="2" a="1"/>
  <c r="AJ1778" i="2" s="1"/>
  <c r="AJ1779" i="2" a="1"/>
  <c r="AJ1779" i="2" s="1"/>
  <c r="AJ1780" i="2" a="1"/>
  <c r="AJ1780" i="2" s="1"/>
  <c r="AJ1781" i="2" a="1"/>
  <c r="AJ1781" i="2" s="1"/>
  <c r="AJ1782" i="2" a="1"/>
  <c r="AJ1782" i="2" s="1"/>
  <c r="AJ1783" i="2" a="1"/>
  <c r="AJ1783" i="2" s="1"/>
  <c r="AJ1784" i="2" a="1"/>
  <c r="AJ1784" i="2" s="1"/>
  <c r="AJ1785" i="2" a="1"/>
  <c r="AJ1785" i="2" s="1"/>
  <c r="AJ1786" i="2" a="1"/>
  <c r="AJ1786" i="2" s="1"/>
  <c r="AJ1787" i="2" a="1"/>
  <c r="AJ1787" i="2" s="1"/>
  <c r="AJ1788" i="2" a="1"/>
  <c r="AJ1788" i="2" s="1"/>
  <c r="AJ1789" i="2" a="1"/>
  <c r="AJ1789" i="2" s="1"/>
  <c r="AJ1790" i="2" a="1"/>
  <c r="AJ1790" i="2" s="1"/>
  <c r="AJ1791" i="2" a="1"/>
  <c r="AJ1791" i="2" s="1"/>
  <c r="AJ1792" i="2" a="1"/>
  <c r="AJ1792" i="2" s="1"/>
  <c r="AJ1793" i="2" a="1"/>
  <c r="AJ1793" i="2" s="1"/>
  <c r="AJ1794" i="2" a="1"/>
  <c r="AJ1794" i="2" s="1"/>
  <c r="AJ1795" i="2" a="1"/>
  <c r="AJ1795" i="2" s="1"/>
  <c r="AJ1796" i="2" a="1"/>
  <c r="AJ1796" i="2" s="1"/>
  <c r="AJ1797" i="2" a="1"/>
  <c r="AJ1797" i="2" s="1"/>
  <c r="AJ1798" i="2" a="1"/>
  <c r="AJ1798" i="2" s="1"/>
  <c r="AJ1799" i="2" a="1"/>
  <c r="AJ1799" i="2" s="1"/>
  <c r="AJ1800" i="2" a="1"/>
  <c r="AJ1800" i="2" s="1"/>
  <c r="AJ1801" i="2" a="1"/>
  <c r="AJ1801" i="2" s="1"/>
  <c r="AJ1802" i="2" a="1"/>
  <c r="AJ1802" i="2" s="1"/>
  <c r="AJ1803" i="2" a="1"/>
  <c r="AJ1803" i="2" s="1"/>
  <c r="AJ1804" i="2" a="1"/>
  <c r="AJ1804" i="2" s="1"/>
  <c r="AJ1805" i="2" a="1"/>
  <c r="AJ1805" i="2" s="1"/>
  <c r="AJ1806" i="2" a="1"/>
  <c r="AJ1806" i="2" s="1"/>
  <c r="AJ1807" i="2" a="1"/>
  <c r="AJ1807" i="2" s="1"/>
  <c r="AJ1808" i="2" a="1"/>
  <c r="AJ1808" i="2" s="1"/>
  <c r="AJ1809" i="2" a="1"/>
  <c r="AJ1809" i="2" s="1"/>
  <c r="AJ1810" i="2" a="1"/>
  <c r="AJ1810" i="2" s="1"/>
  <c r="AJ1811" i="2" a="1"/>
  <c r="AJ1811" i="2" s="1"/>
  <c r="AJ1812" i="2" a="1"/>
  <c r="AJ1812" i="2" s="1"/>
  <c r="AJ1813" i="2" a="1"/>
  <c r="AJ1813" i="2" s="1"/>
  <c r="AJ1814" i="2" a="1"/>
  <c r="AJ1814" i="2" s="1"/>
  <c r="AJ1815" i="2" a="1"/>
  <c r="AJ1815" i="2" s="1"/>
  <c r="AJ1816" i="2" a="1"/>
  <c r="AJ1816" i="2" s="1"/>
  <c r="AJ1817" i="2" a="1"/>
  <c r="AJ1817" i="2" s="1"/>
  <c r="AJ1818" i="2" a="1"/>
  <c r="AJ1818" i="2" s="1"/>
  <c r="AJ1819" i="2" a="1"/>
  <c r="AJ1819" i="2" s="1"/>
  <c r="AJ1820" i="2" a="1"/>
  <c r="AJ1820" i="2" s="1"/>
  <c r="AJ1821" i="2" a="1"/>
  <c r="AJ1821" i="2" s="1"/>
  <c r="AJ1822" i="2" a="1"/>
  <c r="AJ1822" i="2" s="1"/>
  <c r="AJ1823" i="2" a="1"/>
  <c r="AJ1823" i="2" s="1"/>
  <c r="AJ1824" i="2" a="1"/>
  <c r="AJ1824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89" i="2" a="1"/>
  <c r="M489" i="2" s="1"/>
  <c r="M490" i="2" a="1"/>
  <c r="M490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 s="1"/>
  <c r="M496" i="2" a="1"/>
  <c r="M496" i="2" s="1"/>
  <c r="M497" i="2" a="1"/>
  <c r="M497" i="2" s="1"/>
  <c r="M498" i="2" a="1"/>
  <c r="M498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4" i="2" a="1"/>
  <c r="M504" i="2" s="1"/>
  <c r="M505" i="2" a="1"/>
  <c r="M505" i="2" s="1"/>
  <c r="M506" i="2" a="1"/>
  <c r="M506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19" i="2" a="1"/>
  <c r="M519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M530" i="2" a="1"/>
  <c r="M530" i="2" s="1"/>
  <c r="M531" i="2" a="1"/>
  <c r="M531" i="2" s="1"/>
  <c r="M532" i="2" a="1"/>
  <c r="M532" i="2" s="1"/>
  <c r="M533" i="2" a="1"/>
  <c r="M533" i="2" s="1"/>
  <c r="M534" i="2" a="1"/>
  <c r="M534" i="2" s="1"/>
  <c r="M535" i="2" a="1"/>
  <c r="M535" i="2" s="1"/>
  <c r="M536" i="2" a="1"/>
  <c r="M536" i="2" s="1"/>
  <c r="M537" i="2" a="1"/>
  <c r="M537" i="2" s="1"/>
  <c r="M538" i="2" a="1"/>
  <c r="M538" i="2" s="1"/>
  <c r="M539" i="2" a="1"/>
  <c r="M539" i="2" s="1"/>
  <c r="M540" i="2" a="1"/>
  <c r="M540" i="2" s="1"/>
  <c r="M541" i="2" a="1"/>
  <c r="M541" i="2" s="1"/>
  <c r="M542" i="2" a="1"/>
  <c r="M542" i="2" s="1"/>
  <c r="M543" i="2" a="1"/>
  <c r="M543" i="2" s="1"/>
  <c r="M544" i="2" a="1"/>
  <c r="M544" i="2" s="1"/>
  <c r="M545" i="2" a="1"/>
  <c r="M545" i="2" s="1"/>
  <c r="M546" i="2" a="1"/>
  <c r="M546" i="2" s="1"/>
  <c r="M547" i="2" a="1"/>
  <c r="M547" i="2" s="1"/>
  <c r="M548" i="2" a="1"/>
  <c r="M548" i="2" s="1"/>
  <c r="M549" i="2" a="1"/>
  <c r="M549" i="2" s="1"/>
  <c r="M550" i="2" a="1"/>
  <c r="M550" i="2" s="1"/>
  <c r="M551" i="2" a="1"/>
  <c r="M551" i="2" s="1"/>
  <c r="M552" i="2" a="1"/>
  <c r="M552" i="2" s="1"/>
  <c r="M553" i="2" a="1"/>
  <c r="M553" i="2" s="1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 s="1"/>
  <c r="M560" i="2" a="1"/>
  <c r="M560" i="2" s="1"/>
  <c r="M561" i="2" a="1"/>
  <c r="M561" i="2" s="1"/>
  <c r="M562" i="2" a="1"/>
  <c r="M562" i="2" s="1"/>
  <c r="M563" i="2" a="1"/>
  <c r="M563" i="2" s="1"/>
  <c r="M564" i="2" a="1"/>
  <c r="M564" i="2" s="1"/>
  <c r="M565" i="2" a="1"/>
  <c r="M565" i="2" s="1"/>
  <c r="M566" i="2" a="1"/>
  <c r="M566" i="2" s="1"/>
  <c r="M567" i="2" a="1"/>
  <c r="M567" i="2" s="1"/>
  <c r="M568" i="2" a="1"/>
  <c r="M568" i="2" s="1"/>
  <c r="M569" i="2" a="1"/>
  <c r="M569" i="2" s="1"/>
  <c r="M570" i="2" a="1"/>
  <c r="M570" i="2" s="1"/>
  <c r="M571" i="2" a="1"/>
  <c r="M571" i="2" s="1"/>
  <c r="M572" i="2" a="1"/>
  <c r="M572" i="2" s="1"/>
  <c r="M573" i="2" a="1"/>
  <c r="M573" i="2" s="1"/>
  <c r="M574" i="2" a="1"/>
  <c r="M574" i="2" s="1"/>
  <c r="M575" i="2" a="1"/>
  <c r="M575" i="2" s="1"/>
  <c r="M576" i="2" a="1"/>
  <c r="M576" i="2" s="1"/>
  <c r="M577" i="2" a="1"/>
  <c r="M577" i="2" s="1"/>
  <c r="M578" i="2" a="1"/>
  <c r="M578" i="2" s="1"/>
  <c r="M579" i="2" a="1"/>
  <c r="M579" i="2" s="1"/>
  <c r="M580" i="2" a="1"/>
  <c r="M580" i="2" s="1"/>
  <c r="M581" i="2" a="1"/>
  <c r="M581" i="2" s="1"/>
  <c r="M582" i="2" a="1"/>
  <c r="M582" i="2" s="1"/>
  <c r="M583" i="2" a="1"/>
  <c r="M583" i="2" s="1"/>
  <c r="M584" i="2" a="1"/>
  <c r="M584" i="2" s="1"/>
  <c r="M585" i="2" a="1"/>
  <c r="M585" i="2" s="1"/>
  <c r="M586" i="2" a="1"/>
  <c r="M586" i="2" s="1"/>
  <c r="M587" i="2" a="1"/>
  <c r="M587" i="2" s="1"/>
  <c r="M588" i="2" a="1"/>
  <c r="M588" i="2" s="1"/>
  <c r="M589" i="2" a="1"/>
  <c r="M589" i="2" s="1"/>
  <c r="M590" i="2" a="1"/>
  <c r="M590" i="2" s="1"/>
  <c r="M591" i="2" a="1"/>
  <c r="M591" i="2" s="1"/>
  <c r="M592" i="2" a="1"/>
  <c r="M592" i="2" s="1"/>
  <c r="M593" i="2" a="1"/>
  <c r="M593" i="2" s="1"/>
  <c r="M594" i="2" a="1"/>
  <c r="M594" i="2" s="1"/>
  <c r="M595" i="2" a="1"/>
  <c r="M595" i="2" s="1"/>
  <c r="M596" i="2" a="1"/>
  <c r="M596" i="2" s="1"/>
  <c r="M597" i="2" a="1"/>
  <c r="M597" i="2" s="1"/>
  <c r="M598" i="2" a="1"/>
  <c r="M598" i="2" s="1"/>
  <c r="M599" i="2" a="1"/>
  <c r="M599" i="2" s="1"/>
  <c r="M600" i="2" a="1"/>
  <c r="M600" i="2" s="1"/>
  <c r="M601" i="2" a="1"/>
  <c r="M601" i="2" s="1"/>
  <c r="M602" i="2" a="1"/>
  <c r="M602" i="2" s="1"/>
  <c r="M603" i="2" a="1"/>
  <c r="M603" i="2" s="1"/>
  <c r="M604" i="2" a="1"/>
  <c r="M604" i="2" s="1"/>
  <c r="M605" i="2" a="1"/>
  <c r="M605" i="2" s="1"/>
  <c r="M606" i="2" a="1"/>
  <c r="M606" i="2" s="1"/>
  <c r="M607" i="2" a="1"/>
  <c r="M607" i="2" s="1"/>
  <c r="M608" i="2" a="1"/>
  <c r="M608" i="2" s="1"/>
  <c r="M609" i="2" a="1"/>
  <c r="M609" i="2" s="1"/>
  <c r="M610" i="2" a="1"/>
  <c r="M610" i="2" s="1"/>
  <c r="M611" i="2" a="1"/>
  <c r="M611" i="2" s="1"/>
  <c r="M612" i="2" a="1"/>
  <c r="M612" i="2" s="1"/>
  <c r="M613" i="2" a="1"/>
  <c r="M613" i="2" s="1"/>
  <c r="M614" i="2" a="1"/>
  <c r="M614" i="2" s="1"/>
  <c r="M615" i="2" a="1"/>
  <c r="M615" i="2" s="1"/>
  <c r="M616" i="2" a="1"/>
  <c r="M616" i="2" s="1"/>
  <c r="M617" i="2" a="1"/>
  <c r="M617" i="2" s="1"/>
  <c r="M618" i="2" a="1"/>
  <c r="M618" i="2" s="1"/>
  <c r="M619" i="2" a="1"/>
  <c r="M619" i="2" s="1"/>
  <c r="M620" i="2" a="1"/>
  <c r="M620" i="2" s="1"/>
  <c r="M621" i="2" a="1"/>
  <c r="M621" i="2" s="1"/>
  <c r="M622" i="2" a="1"/>
  <c r="M622" i="2" s="1"/>
  <c r="M623" i="2" a="1"/>
  <c r="M623" i="2" s="1"/>
  <c r="M624" i="2" a="1"/>
  <c r="M624" i="2" s="1"/>
  <c r="M625" i="2" a="1"/>
  <c r="M625" i="2" s="1"/>
  <c r="M626" i="2" a="1"/>
  <c r="M626" i="2" s="1"/>
  <c r="M627" i="2" a="1"/>
  <c r="M627" i="2" s="1"/>
  <c r="M628" i="2" a="1"/>
  <c r="M628" i="2" s="1"/>
  <c r="M629" i="2" a="1"/>
  <c r="M629" i="2" s="1"/>
  <c r="M630" i="2" a="1"/>
  <c r="M630" i="2" s="1"/>
  <c r="M631" i="2" a="1"/>
  <c r="M631" i="2" s="1"/>
  <c r="M632" i="2" a="1"/>
  <c r="M632" i="2" s="1"/>
  <c r="M633" i="2" a="1"/>
  <c r="M633" i="2" s="1"/>
  <c r="M634" i="2" a="1"/>
  <c r="M634" i="2" s="1"/>
  <c r="M635" i="2" a="1"/>
  <c r="M635" i="2" s="1"/>
  <c r="M636" i="2" a="1"/>
  <c r="M636" i="2" s="1"/>
  <c r="M637" i="2" a="1"/>
  <c r="M637" i="2" s="1"/>
  <c r="M638" i="2" a="1"/>
  <c r="M638" i="2" s="1"/>
  <c r="M639" i="2" a="1"/>
  <c r="M639" i="2" s="1"/>
  <c r="M640" i="2" a="1"/>
  <c r="M640" i="2" s="1"/>
  <c r="M641" i="2" a="1"/>
  <c r="M641" i="2" s="1"/>
  <c r="M642" i="2" a="1"/>
  <c r="M642" i="2" s="1"/>
  <c r="M643" i="2" a="1"/>
  <c r="M643" i="2" s="1"/>
  <c r="M644" i="2" a="1"/>
  <c r="M644" i="2" s="1"/>
  <c r="M645" i="2" a="1"/>
  <c r="M645" i="2" s="1"/>
  <c r="M646" i="2" a="1"/>
  <c r="M646" i="2" s="1"/>
  <c r="M647" i="2" a="1"/>
  <c r="M647" i="2" s="1"/>
  <c r="M648" i="2" a="1"/>
  <c r="M648" i="2" s="1"/>
  <c r="M649" i="2" a="1"/>
  <c r="M649" i="2" s="1"/>
  <c r="M650" i="2" a="1"/>
  <c r="M650" i="2" s="1"/>
  <c r="M651" i="2" a="1"/>
  <c r="M651" i="2" s="1"/>
  <c r="M652" i="2" a="1"/>
  <c r="M652" i="2" s="1"/>
  <c r="M653" i="2" a="1"/>
  <c r="M653" i="2" s="1"/>
  <c r="M654" i="2" a="1"/>
  <c r="M654" i="2" s="1"/>
  <c r="M655" i="2" a="1"/>
  <c r="M655" i="2" s="1"/>
  <c r="M656" i="2" a="1"/>
  <c r="M656" i="2" s="1"/>
  <c r="M657" i="2" a="1"/>
  <c r="M657" i="2" s="1"/>
  <c r="M658" i="2" a="1"/>
  <c r="M658" i="2" s="1"/>
  <c r="M659" i="2" a="1"/>
  <c r="M659" i="2" s="1"/>
  <c r="M660" i="2" a="1"/>
  <c r="M660" i="2" s="1"/>
  <c r="M661" i="2" a="1"/>
  <c r="M661" i="2" s="1"/>
  <c r="M662" i="2" a="1"/>
  <c r="M662" i="2" s="1"/>
  <c r="M663" i="2" a="1"/>
  <c r="M663" i="2" s="1"/>
  <c r="M664" i="2" a="1"/>
  <c r="M664" i="2" s="1"/>
  <c r="M665" i="2" a="1"/>
  <c r="M665" i="2" s="1"/>
  <c r="M666" i="2" a="1"/>
  <c r="M666" i="2" s="1"/>
  <c r="M667" i="2" a="1"/>
  <c r="M667" i="2" s="1"/>
  <c r="M668" i="2" a="1"/>
  <c r="M668" i="2" s="1"/>
  <c r="M669" i="2" a="1"/>
  <c r="M669" i="2" s="1"/>
  <c r="M670" i="2" a="1"/>
  <c r="M670" i="2" s="1"/>
  <c r="M671" i="2" a="1"/>
  <c r="M671" i="2" s="1"/>
  <c r="M672" i="2" a="1"/>
  <c r="M672" i="2" s="1"/>
  <c r="M673" i="2" a="1"/>
  <c r="M673" i="2" s="1"/>
  <c r="M674" i="2" a="1"/>
  <c r="M674" i="2" s="1"/>
  <c r="M675" i="2" a="1"/>
  <c r="M675" i="2" s="1"/>
  <c r="M676" i="2" a="1"/>
  <c r="M676" i="2" s="1"/>
  <c r="M677" i="2" a="1"/>
  <c r="M677" i="2" s="1"/>
  <c r="M678" i="2" a="1"/>
  <c r="M678" i="2" s="1"/>
  <c r="M679" i="2" a="1"/>
  <c r="M679" i="2" s="1"/>
  <c r="M680" i="2" a="1"/>
  <c r="M680" i="2" s="1"/>
  <c r="M681" i="2" a="1"/>
  <c r="M681" i="2" s="1"/>
  <c r="M682" i="2" a="1"/>
  <c r="M682" i="2" s="1"/>
  <c r="M683" i="2" a="1"/>
  <c r="M683" i="2" s="1"/>
  <c r="M684" i="2" a="1"/>
  <c r="M684" i="2" s="1"/>
  <c r="M685" i="2" a="1"/>
  <c r="M685" i="2" s="1"/>
  <c r="M686" i="2" a="1"/>
  <c r="M686" i="2" s="1"/>
  <c r="M687" i="2" a="1"/>
  <c r="M687" i="2" s="1"/>
  <c r="M688" i="2" a="1"/>
  <c r="M688" i="2" s="1"/>
  <c r="M689" i="2" a="1"/>
  <c r="M689" i="2" s="1"/>
  <c r="M690" i="2" a="1"/>
  <c r="M690" i="2" s="1"/>
  <c r="M691" i="2" a="1"/>
  <c r="M691" i="2" s="1"/>
  <c r="M692" i="2" a="1"/>
  <c r="M692" i="2" s="1"/>
  <c r="M693" i="2" a="1"/>
  <c r="M693" i="2" s="1"/>
  <c r="M694" i="2" a="1"/>
  <c r="M694" i="2" s="1"/>
  <c r="M695" i="2" a="1"/>
  <c r="M695" i="2" s="1"/>
  <c r="M696" i="2" a="1"/>
  <c r="M696" i="2" s="1"/>
  <c r="M697" i="2" a="1"/>
  <c r="M697" i="2" s="1"/>
  <c r="M698" i="2" a="1"/>
  <c r="M698" i="2" s="1"/>
  <c r="M699" i="2" a="1"/>
  <c r="M699" i="2" s="1"/>
  <c r="M700" i="2" a="1"/>
  <c r="M700" i="2" s="1"/>
  <c r="M701" i="2" a="1"/>
  <c r="M701" i="2" s="1"/>
  <c r="M702" i="2" a="1"/>
  <c r="M702" i="2" s="1"/>
  <c r="M703" i="2" a="1"/>
  <c r="M703" i="2" s="1"/>
  <c r="M704" i="2" a="1"/>
  <c r="M704" i="2" s="1"/>
  <c r="M705" i="2" a="1"/>
  <c r="M705" i="2" s="1"/>
  <c r="M706" i="2" a="1"/>
  <c r="M706" i="2" s="1"/>
  <c r="M707" i="2" a="1"/>
  <c r="M707" i="2" s="1"/>
  <c r="M708" i="2" a="1"/>
  <c r="M708" i="2" s="1"/>
  <c r="M709" i="2" a="1"/>
  <c r="M709" i="2" s="1"/>
  <c r="M710" i="2" a="1"/>
  <c r="M710" i="2" s="1"/>
  <c r="M711" i="2" a="1"/>
  <c r="M711" i="2" s="1"/>
  <c r="M712" i="2" a="1"/>
  <c r="M712" i="2" s="1"/>
  <c r="M713" i="2" a="1"/>
  <c r="M713" i="2" s="1"/>
  <c r="M714" i="2" a="1"/>
  <c r="M714" i="2" s="1"/>
  <c r="M715" i="2" a="1"/>
  <c r="M715" i="2" s="1"/>
  <c r="M716" i="2" a="1"/>
  <c r="M716" i="2" s="1"/>
  <c r="M717" i="2" a="1"/>
  <c r="M717" i="2" s="1"/>
  <c r="M718" i="2" a="1"/>
  <c r="M718" i="2" s="1"/>
  <c r="M719" i="2" a="1"/>
  <c r="M719" i="2" s="1"/>
  <c r="M720" i="2" a="1"/>
  <c r="M720" i="2" s="1"/>
  <c r="M721" i="2" a="1"/>
  <c r="M721" i="2" s="1"/>
  <c r="M722" i="2" a="1"/>
  <c r="M722" i="2" s="1"/>
  <c r="M723" i="2" a="1"/>
  <c r="M723" i="2" s="1"/>
  <c r="M724" i="2" a="1"/>
  <c r="M724" i="2" s="1"/>
  <c r="M725" i="2" a="1"/>
  <c r="M725" i="2" s="1"/>
  <c r="M726" i="2" a="1"/>
  <c r="M726" i="2" s="1"/>
  <c r="M727" i="2" a="1"/>
  <c r="M727" i="2" s="1"/>
  <c r="M728" i="2" a="1"/>
  <c r="M728" i="2" s="1"/>
  <c r="M729" i="2" a="1"/>
  <c r="M729" i="2" s="1"/>
  <c r="M730" i="2" a="1"/>
  <c r="M730" i="2" s="1"/>
  <c r="M731" i="2" a="1"/>
  <c r="M731" i="2" s="1"/>
  <c r="M732" i="2" a="1"/>
  <c r="M732" i="2" s="1"/>
  <c r="M733" i="2" a="1"/>
  <c r="M733" i="2" s="1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 s="1"/>
  <c r="M740" i="2" a="1"/>
  <c r="M740" i="2" s="1"/>
  <c r="M741" i="2" a="1"/>
  <c r="M741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7" i="2" a="1"/>
  <c r="M747" i="2" s="1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4" i="2" a="1"/>
  <c r="M754" i="2" s="1"/>
  <c r="M755" i="2" a="1"/>
  <c r="M755" i="2" s="1"/>
  <c r="M756" i="2" a="1"/>
  <c r="M756" i="2" s="1"/>
  <c r="M757" i="2" a="1"/>
  <c r="M757" i="2" s="1"/>
  <c r="M758" i="2" a="1"/>
  <c r="M758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 s="1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1" i="2" a="1"/>
  <c r="M771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1" i="2" a="1"/>
  <c r="M781" i="2" s="1"/>
  <c r="M782" i="2" a="1"/>
  <c r="M782" i="2" s="1"/>
  <c r="M783" i="2" a="1"/>
  <c r="M783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 s="1"/>
  <c r="M798" i="2" a="1"/>
  <c r="M798" i="2" s="1"/>
  <c r="M799" i="2" a="1"/>
  <c r="M799" i="2" s="1"/>
  <c r="M800" i="2" a="1"/>
  <c r="M800" i="2" s="1"/>
  <c r="M801" i="2" a="1"/>
  <c r="M801" i="2" s="1"/>
  <c r="M802" i="2" a="1"/>
  <c r="M802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 s="1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 s="1"/>
  <c r="M822" i="2" a="1"/>
  <c r="M822" i="2" s="1"/>
  <c r="M823" i="2" a="1"/>
  <c r="M823" i="2" s="1"/>
  <c r="M824" i="2" a="1"/>
  <c r="M824" i="2" s="1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 s="1"/>
  <c r="M833" i="2" a="1"/>
  <c r="M833" i="2" s="1"/>
  <c r="M834" i="2" a="1"/>
  <c r="M834" i="2" s="1"/>
  <c r="M835" i="2" a="1"/>
  <c r="M835" i="2" s="1"/>
  <c r="M836" i="2" a="1"/>
  <c r="M836" i="2" s="1"/>
  <c r="M837" i="2" a="1"/>
  <c r="M837" i="2" s="1"/>
  <c r="M838" i="2" a="1"/>
  <c r="M838" i="2" s="1"/>
  <c r="M839" i="2" a="1"/>
  <c r="M839" i="2" s="1"/>
  <c r="M840" i="2" a="1"/>
  <c r="M840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2" i="2" a="1"/>
  <c r="M852" i="2" s="1"/>
  <c r="M853" i="2" a="1"/>
  <c r="M853" i="2" s="1"/>
  <c r="M854" i="2" a="1"/>
  <c r="M854" i="2" s="1"/>
  <c r="M855" i="2" a="1"/>
  <c r="M855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1" i="2" a="1"/>
  <c r="M861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2" i="2" a="1"/>
  <c r="M872" i="2" s="1"/>
  <c r="M873" i="2" a="1"/>
  <c r="M873" i="2" s="1"/>
  <c r="M874" i="2" a="1"/>
  <c r="M874" i="2" s="1"/>
  <c r="M875" i="2" a="1"/>
  <c r="M875" i="2" s="1"/>
  <c r="M876" i="2" a="1"/>
  <c r="M876" i="2" s="1"/>
  <c r="M877" i="2" a="1"/>
  <c r="M877" i="2" s="1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5" i="2" a="1"/>
  <c r="M885" i="2" s="1"/>
  <c r="M886" i="2" a="1"/>
  <c r="M886" i="2" s="1"/>
  <c r="M887" i="2" a="1"/>
  <c r="M887" i="2" s="1"/>
  <c r="M888" i="2" a="1"/>
  <c r="M888" i="2" s="1"/>
  <c r="M889" i="2" a="1"/>
  <c r="M889" i="2" s="1"/>
  <c r="M890" i="2" a="1"/>
  <c r="M890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7" i="2" a="1"/>
  <c r="M897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2" i="2" a="1"/>
  <c r="M932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38" i="2" a="1"/>
  <c r="M938" i="2" s="1"/>
  <c r="M939" i="2" a="1"/>
  <c r="M939" i="2" s="1"/>
  <c r="M940" i="2" a="1"/>
  <c r="M940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8" i="2" a="1"/>
  <c r="M948" i="2" s="1"/>
  <c r="M949" i="2" a="1"/>
  <c r="M949" i="2" s="1"/>
  <c r="M950" i="2" a="1"/>
  <c r="M950" i="2" s="1"/>
  <c r="M951" i="2" a="1"/>
  <c r="M951" i="2" s="1"/>
  <c r="M952" i="2" a="1"/>
  <c r="M952" i="2" s="1"/>
  <c r="M953" i="2" a="1"/>
  <c r="M953" i="2" s="1"/>
  <c r="M954" i="2" a="1"/>
  <c r="M954" i="2" s="1"/>
  <c r="M955" i="2" a="1"/>
  <c r="M955" i="2" s="1"/>
  <c r="M956" i="2" a="1"/>
  <c r="M956" i="2" s="1"/>
  <c r="M957" i="2" a="1"/>
  <c r="M957" i="2" s="1"/>
  <c r="M958" i="2" a="1"/>
  <c r="M958" i="2" s="1"/>
  <c r="M959" i="2" a="1"/>
  <c r="M959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7" i="2" a="1"/>
  <c r="M967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6" i="2" a="1"/>
  <c r="M976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 s="1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 s="1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  <c r="M1002" i="2" a="1"/>
  <c r="M1002" i="2" s="1"/>
  <c r="M1003" i="2" a="1"/>
  <c r="M1003" i="2" s="1"/>
  <c r="M1004" i="2" a="1"/>
  <c r="M1004" i="2" s="1"/>
  <c r="M1005" i="2" a="1"/>
  <c r="M1005" i="2" s="1"/>
  <c r="M1006" i="2" a="1"/>
  <c r="M1006" i="2" s="1"/>
  <c r="M1007" i="2" a="1"/>
  <c r="M1007" i="2" s="1"/>
  <c r="M1008" i="2" a="1"/>
  <c r="M1008" i="2" s="1"/>
  <c r="M1009" i="2" a="1"/>
  <c r="M1009" i="2" s="1"/>
  <c r="M1010" i="2" a="1"/>
  <c r="M1010" i="2" s="1"/>
  <c r="M1011" i="2" a="1"/>
  <c r="M1011" i="2" s="1"/>
  <c r="M1012" i="2" a="1"/>
  <c r="M1012" i="2" s="1"/>
  <c r="M1013" i="2" a="1"/>
  <c r="M1013" i="2" s="1"/>
  <c r="M1014" i="2" a="1"/>
  <c r="M1014" i="2" s="1"/>
  <c r="M1015" i="2" a="1"/>
  <c r="M1015" i="2" s="1"/>
  <c r="M1016" i="2" a="1"/>
  <c r="M1016" i="2" s="1"/>
  <c r="M1017" i="2" a="1"/>
  <c r="M1017" i="2" s="1"/>
  <c r="M1018" i="2" a="1"/>
  <c r="M1018" i="2" s="1"/>
  <c r="M1019" i="2" a="1"/>
  <c r="M1019" i="2" s="1"/>
  <c r="M1020" i="2" a="1"/>
  <c r="M1020" i="2" s="1"/>
  <c r="M1021" i="2" a="1"/>
  <c r="M1021" i="2" s="1"/>
  <c r="M1022" i="2" a="1"/>
  <c r="M1022" i="2" s="1"/>
  <c r="M1023" i="2" a="1"/>
  <c r="M1023" i="2" s="1"/>
  <c r="M1024" i="2" a="1"/>
  <c r="M1024" i="2" s="1"/>
  <c r="M1025" i="2" a="1"/>
  <c r="M1025" i="2" s="1"/>
  <c r="M1026" i="2" a="1"/>
  <c r="M1026" i="2" s="1"/>
  <c r="M1027" i="2" a="1"/>
  <c r="M1027" i="2" s="1"/>
  <c r="M1028" i="2" a="1"/>
  <c r="M1028" i="2" s="1"/>
  <c r="M1029" i="2" a="1"/>
  <c r="M1029" i="2" s="1"/>
  <c r="M1030" i="2" a="1"/>
  <c r="M1030" i="2" s="1"/>
  <c r="M1031" i="2" a="1"/>
  <c r="M1031" i="2" s="1"/>
  <c r="M1032" i="2" a="1"/>
  <c r="M1032" i="2" s="1"/>
  <c r="M1033" i="2" a="1"/>
  <c r="M1033" i="2" s="1"/>
  <c r="M1034" i="2" a="1"/>
  <c r="M1034" i="2" s="1"/>
  <c r="M1035" i="2" a="1"/>
  <c r="M1035" i="2" s="1"/>
  <c r="M1036" i="2" a="1"/>
  <c r="M1036" i="2" s="1"/>
  <c r="M1037" i="2" a="1"/>
  <c r="M1037" i="2" s="1"/>
  <c r="M1038" i="2" a="1"/>
  <c r="M1038" i="2" s="1"/>
  <c r="M1039" i="2" a="1"/>
  <c r="M1039" i="2" s="1"/>
  <c r="M1040" i="2" a="1"/>
  <c r="M1040" i="2" s="1"/>
  <c r="M1041" i="2" a="1"/>
  <c r="M1041" i="2" s="1"/>
  <c r="M1042" i="2" a="1"/>
  <c r="M1042" i="2" s="1"/>
  <c r="M1043" i="2" a="1"/>
  <c r="M1043" i="2" s="1"/>
  <c r="M1044" i="2" a="1"/>
  <c r="M1044" i="2" s="1"/>
  <c r="M1045" i="2" a="1"/>
  <c r="M1045" i="2" s="1"/>
  <c r="M1046" i="2" a="1"/>
  <c r="M1046" i="2" s="1"/>
  <c r="M1047" i="2" a="1"/>
  <c r="M1047" i="2" s="1"/>
  <c r="M1048" i="2" a="1"/>
  <c r="M1048" i="2" s="1"/>
  <c r="M1049" i="2" a="1"/>
  <c r="M1049" i="2" s="1"/>
  <c r="M1050" i="2" a="1"/>
  <c r="M1050" i="2" s="1"/>
  <c r="M1051" i="2" a="1"/>
  <c r="M1051" i="2" s="1"/>
  <c r="M1052" i="2" a="1"/>
  <c r="M1052" i="2" s="1"/>
  <c r="M1053" i="2" a="1"/>
  <c r="M1053" i="2" s="1"/>
  <c r="M1054" i="2" a="1"/>
  <c r="M1054" i="2" s="1"/>
  <c r="M1055" i="2" a="1"/>
  <c r="M1055" i="2" s="1"/>
  <c r="M1056" i="2" a="1"/>
  <c r="M1056" i="2" s="1"/>
  <c r="M1057" i="2" a="1"/>
  <c r="M1057" i="2" s="1"/>
  <c r="M1058" i="2" a="1"/>
  <c r="M1058" i="2" s="1"/>
  <c r="M1059" i="2" a="1"/>
  <c r="M1059" i="2" s="1"/>
  <c r="M1060" i="2" a="1"/>
  <c r="M1060" i="2" s="1"/>
  <c r="M1061" i="2" a="1"/>
  <c r="M1061" i="2" s="1"/>
  <c r="M1062" i="2" a="1"/>
  <c r="M1062" i="2" s="1"/>
  <c r="M1063" i="2" a="1"/>
  <c r="M1063" i="2" s="1"/>
  <c r="M1064" i="2" a="1"/>
  <c r="M1064" i="2" s="1"/>
  <c r="M1065" i="2" a="1"/>
  <c r="M1065" i="2" s="1"/>
  <c r="M1066" i="2" a="1"/>
  <c r="M1066" i="2" s="1"/>
  <c r="M1067" i="2" a="1"/>
  <c r="M1067" i="2" s="1"/>
  <c r="M1068" i="2" a="1"/>
  <c r="M1068" i="2" s="1"/>
  <c r="M1069" i="2" a="1"/>
  <c r="M1069" i="2" s="1"/>
  <c r="M1070" i="2" a="1"/>
  <c r="M1070" i="2" s="1"/>
  <c r="M1071" i="2" a="1"/>
  <c r="M1071" i="2" s="1"/>
  <c r="M1072" i="2" a="1"/>
  <c r="M1072" i="2" s="1"/>
  <c r="M1073" i="2" a="1"/>
  <c r="M1073" i="2" s="1"/>
  <c r="M1074" i="2" a="1"/>
  <c r="M1074" i="2" s="1"/>
  <c r="M1075" i="2" a="1"/>
  <c r="M1075" i="2" s="1"/>
  <c r="M1076" i="2" a="1"/>
  <c r="M1076" i="2" s="1"/>
  <c r="M1077" i="2" a="1"/>
  <c r="M1077" i="2" s="1"/>
  <c r="M1078" i="2" a="1"/>
  <c r="M1078" i="2" s="1"/>
  <c r="M1079" i="2" a="1"/>
  <c r="M1079" i="2" s="1"/>
  <c r="M1080" i="2" a="1"/>
  <c r="M1080" i="2" s="1"/>
  <c r="M1081" i="2" a="1"/>
  <c r="M1081" i="2" s="1"/>
  <c r="M1082" i="2" a="1"/>
  <c r="M1082" i="2" s="1"/>
  <c r="M1083" i="2" a="1"/>
  <c r="M1083" i="2" s="1"/>
  <c r="M1084" i="2" a="1"/>
  <c r="M1084" i="2" s="1"/>
  <c r="M1085" i="2" a="1"/>
  <c r="M1085" i="2" s="1"/>
  <c r="M1086" i="2" a="1"/>
  <c r="M1086" i="2" s="1"/>
  <c r="M1087" i="2" a="1"/>
  <c r="M1087" i="2" s="1"/>
  <c r="M1088" i="2" a="1"/>
  <c r="M1088" i="2" s="1"/>
  <c r="M1089" i="2" a="1"/>
  <c r="M1089" i="2" s="1"/>
  <c r="M1090" i="2" a="1"/>
  <c r="M1090" i="2" s="1"/>
  <c r="M1091" i="2" a="1"/>
  <c r="M1091" i="2" s="1"/>
  <c r="M1092" i="2" a="1"/>
  <c r="M1092" i="2" s="1"/>
  <c r="M1093" i="2" a="1"/>
  <c r="M1093" i="2" s="1"/>
  <c r="M1094" i="2" a="1"/>
  <c r="M1094" i="2" s="1"/>
  <c r="M1095" i="2" a="1"/>
  <c r="M1095" i="2" s="1"/>
  <c r="M1096" i="2" a="1"/>
  <c r="M1096" i="2" s="1"/>
  <c r="M1097" i="2" a="1"/>
  <c r="M1097" i="2" s="1"/>
  <c r="M1098" i="2" a="1"/>
  <c r="M1098" i="2" s="1"/>
  <c r="M1099" i="2" a="1"/>
  <c r="M1099" i="2" s="1"/>
  <c r="M1100" i="2" a="1"/>
  <c r="M1100" i="2" s="1"/>
  <c r="M1101" i="2" a="1"/>
  <c r="M1101" i="2" s="1"/>
  <c r="M1102" i="2" a="1"/>
  <c r="M1102" i="2" s="1"/>
  <c r="M1103" i="2" a="1"/>
  <c r="M1103" i="2" s="1"/>
  <c r="M1104" i="2" a="1"/>
  <c r="M1104" i="2" s="1"/>
  <c r="M1105" i="2" a="1"/>
  <c r="M1105" i="2" s="1"/>
  <c r="M1106" i="2" a="1"/>
  <c r="M1106" i="2" s="1"/>
  <c r="M1107" i="2" a="1"/>
  <c r="M1107" i="2" s="1"/>
  <c r="M1108" i="2" a="1"/>
  <c r="M1108" i="2" s="1"/>
  <c r="M1109" i="2" a="1"/>
  <c r="M1109" i="2" s="1"/>
  <c r="M1110" i="2" a="1"/>
  <c r="M1110" i="2" s="1"/>
  <c r="M1111" i="2" a="1"/>
  <c r="M1111" i="2" s="1"/>
  <c r="M1112" i="2" a="1"/>
  <c r="M1112" i="2" s="1"/>
  <c r="M1113" i="2" a="1"/>
  <c r="M1113" i="2" s="1"/>
  <c r="M1114" i="2" a="1"/>
  <c r="M1114" i="2" s="1"/>
  <c r="M1115" i="2" a="1"/>
  <c r="M1115" i="2" s="1"/>
  <c r="M1116" i="2" a="1"/>
  <c r="M1116" i="2" s="1"/>
  <c r="M1117" i="2" a="1"/>
  <c r="M1117" i="2" s="1"/>
  <c r="M1118" i="2" a="1"/>
  <c r="M1118" i="2" s="1"/>
  <c r="M1119" i="2" a="1"/>
  <c r="M1119" i="2" s="1"/>
  <c r="M1120" i="2" a="1"/>
  <c r="M1120" i="2" s="1"/>
  <c r="M1121" i="2" a="1"/>
  <c r="M1121" i="2" s="1"/>
  <c r="M1122" i="2" a="1"/>
  <c r="M1122" i="2" s="1"/>
  <c r="M1123" i="2" a="1"/>
  <c r="M1123" i="2" s="1"/>
  <c r="M1124" i="2" a="1"/>
  <c r="M1124" i="2" s="1"/>
  <c r="M1125" i="2" a="1"/>
  <c r="M1125" i="2" s="1"/>
  <c r="M1126" i="2" a="1"/>
  <c r="M1126" i="2" s="1"/>
  <c r="M1127" i="2" a="1"/>
  <c r="M1127" i="2" s="1"/>
  <c r="M1128" i="2" a="1"/>
  <c r="M1128" i="2" s="1"/>
  <c r="M1129" i="2" a="1"/>
  <c r="M1129" i="2" s="1"/>
  <c r="M1130" i="2" a="1"/>
  <c r="M1130" i="2" s="1"/>
  <c r="M1131" i="2" a="1"/>
  <c r="M1131" i="2" s="1"/>
  <c r="M1132" i="2" a="1"/>
  <c r="M1132" i="2" s="1"/>
  <c r="M1133" i="2" a="1"/>
  <c r="M1133" i="2" s="1"/>
  <c r="M1134" i="2" a="1"/>
  <c r="M1134" i="2" s="1"/>
  <c r="M1135" i="2" a="1"/>
  <c r="M1135" i="2" s="1"/>
  <c r="M1136" i="2" a="1"/>
  <c r="M1136" i="2" s="1"/>
  <c r="M1137" i="2" a="1"/>
  <c r="M1137" i="2" s="1"/>
  <c r="M1138" i="2" a="1"/>
  <c r="M1138" i="2" s="1"/>
  <c r="M1139" i="2" a="1"/>
  <c r="M1139" i="2" s="1"/>
  <c r="M1140" i="2" a="1"/>
  <c r="M1140" i="2" s="1"/>
  <c r="M1141" i="2" a="1"/>
  <c r="M1141" i="2" s="1"/>
  <c r="M1142" i="2" a="1"/>
  <c r="M1142" i="2" s="1"/>
  <c r="M1143" i="2" a="1"/>
  <c r="M1143" i="2" s="1"/>
  <c r="M1144" i="2" a="1"/>
  <c r="M1144" i="2" s="1"/>
  <c r="M1145" i="2" a="1"/>
  <c r="M1145" i="2" s="1"/>
  <c r="M1146" i="2" a="1"/>
  <c r="M1146" i="2" s="1"/>
  <c r="M1147" i="2" a="1"/>
  <c r="M1147" i="2" s="1"/>
  <c r="M1148" i="2" a="1"/>
  <c r="M1148" i="2" s="1"/>
  <c r="M1149" i="2" a="1"/>
  <c r="M1149" i="2" s="1"/>
  <c r="M1150" i="2" a="1"/>
  <c r="M1150" i="2" s="1"/>
  <c r="M1151" i="2" a="1"/>
  <c r="M1151" i="2" s="1"/>
  <c r="M1152" i="2" a="1"/>
  <c r="M1152" i="2" s="1"/>
  <c r="M1153" i="2" a="1"/>
  <c r="M1153" i="2" s="1"/>
  <c r="M1154" i="2" a="1"/>
  <c r="M1154" i="2" s="1"/>
  <c r="M1155" i="2" a="1"/>
  <c r="M1155" i="2" s="1"/>
  <c r="M1156" i="2" a="1"/>
  <c r="M1156" i="2" s="1"/>
  <c r="M1157" i="2" a="1"/>
  <c r="M1157" i="2" s="1"/>
  <c r="M1158" i="2" a="1"/>
  <c r="M1158" i="2" s="1"/>
  <c r="M1159" i="2" a="1"/>
  <c r="M1159" i="2" s="1"/>
  <c r="M1160" i="2" a="1"/>
  <c r="M1160" i="2" s="1"/>
  <c r="M1161" i="2" a="1"/>
  <c r="M1161" i="2" s="1"/>
  <c r="M1162" i="2" a="1"/>
  <c r="M1162" i="2" s="1"/>
  <c r="M1163" i="2" a="1"/>
  <c r="M1163" i="2" s="1"/>
  <c r="M1164" i="2" a="1"/>
  <c r="M1164" i="2" s="1"/>
  <c r="M1165" i="2" a="1"/>
  <c r="M1165" i="2" s="1"/>
  <c r="M1166" i="2" a="1"/>
  <c r="M1166" i="2" s="1"/>
  <c r="M1167" i="2" a="1"/>
  <c r="M1167" i="2" s="1"/>
  <c r="M1168" i="2" a="1"/>
  <c r="M1168" i="2" s="1"/>
  <c r="M1169" i="2" a="1"/>
  <c r="M1169" i="2" s="1"/>
  <c r="M1170" i="2" a="1"/>
  <c r="M1170" i="2" s="1"/>
  <c r="M1171" i="2" a="1"/>
  <c r="M1171" i="2" s="1"/>
  <c r="M1172" i="2" a="1"/>
  <c r="M1172" i="2" s="1"/>
  <c r="M1173" i="2" a="1"/>
  <c r="M1173" i="2" s="1"/>
  <c r="M1174" i="2" a="1"/>
  <c r="M1174" i="2" s="1"/>
  <c r="M1175" i="2" a="1"/>
  <c r="M1175" i="2" s="1"/>
  <c r="M1176" i="2" a="1"/>
  <c r="M1176" i="2" s="1"/>
  <c r="M1177" i="2" a="1"/>
  <c r="M1177" i="2" s="1"/>
  <c r="M1178" i="2" a="1"/>
  <c r="M1178" i="2" s="1"/>
  <c r="M1179" i="2" a="1"/>
  <c r="M1179" i="2" s="1"/>
  <c r="M1180" i="2" a="1"/>
  <c r="M1180" i="2" s="1"/>
  <c r="M1181" i="2" a="1"/>
  <c r="M1181" i="2" s="1"/>
  <c r="M1182" i="2" a="1"/>
  <c r="M1182" i="2" s="1"/>
  <c r="M1183" i="2" a="1"/>
  <c r="M1183" i="2" s="1"/>
  <c r="M1184" i="2" a="1"/>
  <c r="M1184" i="2" s="1"/>
  <c r="M1185" i="2" a="1"/>
  <c r="M1185" i="2" s="1"/>
  <c r="M1186" i="2" a="1"/>
  <c r="M1186" i="2" s="1"/>
  <c r="M1187" i="2" a="1"/>
  <c r="M1187" i="2" s="1"/>
  <c r="M1188" i="2" a="1"/>
  <c r="M1188" i="2" s="1"/>
  <c r="M1189" i="2" a="1"/>
  <c r="M1189" i="2" s="1"/>
  <c r="M1190" i="2" a="1"/>
  <c r="M1190" i="2" s="1"/>
  <c r="M1191" i="2" a="1"/>
  <c r="M1191" i="2" s="1"/>
  <c r="M1192" i="2" a="1"/>
  <c r="M1192" i="2" s="1"/>
  <c r="M1193" i="2" a="1"/>
  <c r="M1193" i="2" s="1"/>
  <c r="M1194" i="2" a="1"/>
  <c r="M1194" i="2" s="1"/>
  <c r="M1195" i="2" a="1"/>
  <c r="M1195" i="2" s="1"/>
  <c r="M1196" i="2" a="1"/>
  <c r="M1196" i="2" s="1"/>
  <c r="M1197" i="2" a="1"/>
  <c r="M1197" i="2" s="1"/>
  <c r="M1198" i="2" a="1"/>
  <c r="M1198" i="2" s="1"/>
  <c r="M1199" i="2" a="1"/>
  <c r="M1199" i="2" s="1"/>
  <c r="M1200" i="2" a="1"/>
  <c r="M1200" i="2" s="1"/>
  <c r="M1201" i="2" a="1"/>
  <c r="M1201" i="2" s="1"/>
  <c r="M1202" i="2" a="1"/>
  <c r="M1202" i="2" s="1"/>
  <c r="M1203" i="2" a="1"/>
  <c r="M1203" i="2" s="1"/>
  <c r="M1204" i="2" a="1"/>
  <c r="M1204" i="2" s="1"/>
  <c r="M1205" i="2" a="1"/>
  <c r="M1205" i="2" s="1"/>
  <c r="M1206" i="2" a="1"/>
  <c r="M1206" i="2" s="1"/>
  <c r="M1207" i="2" a="1"/>
  <c r="M1207" i="2" s="1"/>
  <c r="M1208" i="2" a="1"/>
  <c r="M1208" i="2" s="1"/>
  <c r="M1209" i="2" a="1"/>
  <c r="M1209" i="2" s="1"/>
  <c r="M1210" i="2" a="1"/>
  <c r="M1210" i="2" s="1"/>
  <c r="M1211" i="2" a="1"/>
  <c r="M1211" i="2" s="1"/>
  <c r="M1212" i="2" a="1"/>
  <c r="M1212" i="2" s="1"/>
  <c r="M1213" i="2" a="1"/>
  <c r="M1213" i="2" s="1"/>
  <c r="M1214" i="2" a="1"/>
  <c r="M1214" i="2" s="1"/>
  <c r="M1215" i="2" a="1"/>
  <c r="M1215" i="2" s="1"/>
  <c r="M1216" i="2" a="1"/>
  <c r="M1216" i="2" s="1"/>
  <c r="M1217" i="2" a="1"/>
  <c r="M1217" i="2" s="1"/>
  <c r="M1218" i="2" a="1"/>
  <c r="M1218" i="2" s="1"/>
  <c r="M1219" i="2" a="1"/>
  <c r="M1219" i="2" s="1"/>
  <c r="M1220" i="2" a="1"/>
  <c r="M1220" i="2" s="1"/>
  <c r="M1221" i="2" a="1"/>
  <c r="M1221" i="2" s="1"/>
  <c r="M1222" i="2" a="1"/>
  <c r="M1222" i="2" s="1"/>
  <c r="M1223" i="2" a="1"/>
  <c r="M1223" i="2" s="1"/>
  <c r="M1224" i="2" a="1"/>
  <c r="M1224" i="2" s="1"/>
  <c r="M1225" i="2" a="1"/>
  <c r="M1225" i="2" s="1"/>
  <c r="M1226" i="2" a="1"/>
  <c r="M1226" i="2" s="1"/>
  <c r="M1227" i="2" a="1"/>
  <c r="M1227" i="2" s="1"/>
  <c r="M1228" i="2" a="1"/>
  <c r="M1228" i="2" s="1"/>
  <c r="M1229" i="2" a="1"/>
  <c r="M1229" i="2" s="1"/>
  <c r="M1230" i="2" a="1"/>
  <c r="M1230" i="2" s="1"/>
  <c r="M1231" i="2" a="1"/>
  <c r="M1231" i="2" s="1"/>
  <c r="M1232" i="2" a="1"/>
  <c r="M1232" i="2" s="1"/>
  <c r="M1233" i="2" a="1"/>
  <c r="M1233" i="2" s="1"/>
  <c r="M1234" i="2" a="1"/>
  <c r="M1234" i="2" s="1"/>
  <c r="M1235" i="2" a="1"/>
  <c r="M1235" i="2" s="1"/>
  <c r="M1236" i="2" a="1"/>
  <c r="M1236" i="2" s="1"/>
  <c r="M1237" i="2" a="1"/>
  <c r="M1237" i="2" s="1"/>
  <c r="M1238" i="2" a="1"/>
  <c r="M1238" i="2" s="1"/>
  <c r="M1239" i="2" a="1"/>
  <c r="M1239" i="2" s="1"/>
  <c r="M1240" i="2" a="1"/>
  <c r="M1240" i="2" s="1"/>
  <c r="M1241" i="2" a="1"/>
  <c r="M1241" i="2" s="1"/>
  <c r="M1242" i="2" a="1"/>
  <c r="M1242" i="2" s="1"/>
  <c r="M1243" i="2" a="1"/>
  <c r="M1243" i="2" s="1"/>
  <c r="M1244" i="2" a="1"/>
  <c r="M1244" i="2" s="1"/>
  <c r="M1245" i="2" a="1"/>
  <c r="M1245" i="2" s="1"/>
  <c r="M1246" i="2" a="1"/>
  <c r="M1246" i="2" s="1"/>
  <c r="M1247" i="2" a="1"/>
  <c r="M1247" i="2" s="1"/>
  <c r="M1248" i="2" a="1"/>
  <c r="M1248" i="2" s="1"/>
  <c r="M1249" i="2" a="1"/>
  <c r="M1249" i="2" s="1"/>
  <c r="M1250" i="2" a="1"/>
  <c r="M1250" i="2" s="1"/>
  <c r="M1251" i="2" a="1"/>
  <c r="M1251" i="2" s="1"/>
  <c r="M1252" i="2" a="1"/>
  <c r="M1252" i="2" s="1"/>
  <c r="M1253" i="2" a="1"/>
  <c r="M1253" i="2" s="1"/>
  <c r="M1254" i="2" a="1"/>
  <c r="M1254" i="2" s="1"/>
  <c r="M1255" i="2" a="1"/>
  <c r="M1255" i="2" s="1"/>
  <c r="M1256" i="2" a="1"/>
  <c r="M1256" i="2" s="1"/>
  <c r="M1257" i="2" a="1"/>
  <c r="M1257" i="2" s="1"/>
  <c r="M1258" i="2" a="1"/>
  <c r="M1258" i="2" s="1"/>
  <c r="M1259" i="2" a="1"/>
  <c r="M1259" i="2" s="1"/>
  <c r="M1260" i="2" a="1"/>
  <c r="M1260" i="2" s="1"/>
  <c r="M1261" i="2" a="1"/>
  <c r="M1261" i="2" s="1"/>
  <c r="M1262" i="2" a="1"/>
  <c r="M1262" i="2" s="1"/>
  <c r="M1263" i="2" a="1"/>
  <c r="M1263" i="2" s="1"/>
  <c r="M1264" i="2" a="1"/>
  <c r="M1264" i="2" s="1"/>
  <c r="M1265" i="2" a="1"/>
  <c r="M1265" i="2" s="1"/>
  <c r="M1266" i="2" a="1"/>
  <c r="M1266" i="2" s="1"/>
  <c r="M1267" i="2" a="1"/>
  <c r="M1267" i="2" s="1"/>
  <c r="M1268" i="2" a="1"/>
  <c r="M1268" i="2" s="1"/>
  <c r="M1269" i="2" a="1"/>
  <c r="M1269" i="2" s="1"/>
  <c r="M1270" i="2" a="1"/>
  <c r="M1270" i="2" s="1"/>
  <c r="M1271" i="2" a="1"/>
  <c r="M1271" i="2" s="1"/>
  <c r="M1272" i="2" a="1"/>
  <c r="M1272" i="2" s="1"/>
  <c r="M1273" i="2" a="1"/>
  <c r="M1273" i="2" s="1"/>
  <c r="M1274" i="2" a="1"/>
  <c r="M1274" i="2" s="1"/>
  <c r="M1275" i="2" a="1"/>
  <c r="M1275" i="2" s="1"/>
  <c r="M1276" i="2" a="1"/>
  <c r="M1276" i="2" s="1"/>
  <c r="M1277" i="2" a="1"/>
  <c r="M1277" i="2" s="1"/>
  <c r="M1278" i="2" a="1"/>
  <c r="M1278" i="2" s="1"/>
  <c r="M1279" i="2" a="1"/>
  <c r="M1279" i="2" s="1"/>
  <c r="M1280" i="2" a="1"/>
  <c r="M1280" i="2" s="1"/>
  <c r="M1281" i="2" a="1"/>
  <c r="M1281" i="2" s="1"/>
  <c r="M1282" i="2" a="1"/>
  <c r="M1282" i="2" s="1"/>
  <c r="M1283" i="2" a="1"/>
  <c r="M1283" i="2" s="1"/>
  <c r="M1284" i="2" a="1"/>
  <c r="M1284" i="2" s="1"/>
  <c r="M1285" i="2" a="1"/>
  <c r="M1285" i="2" s="1"/>
  <c r="M1286" i="2" a="1"/>
  <c r="M1286" i="2" s="1"/>
  <c r="M1287" i="2" a="1"/>
  <c r="M1287" i="2" s="1"/>
  <c r="M1288" i="2" a="1"/>
  <c r="M1288" i="2" s="1"/>
  <c r="M1289" i="2" a="1"/>
  <c r="M1289" i="2" s="1"/>
  <c r="M1290" i="2" a="1"/>
  <c r="M1290" i="2" s="1"/>
  <c r="M1291" i="2" a="1"/>
  <c r="M1291" i="2" s="1"/>
  <c r="M1292" i="2" a="1"/>
  <c r="M1292" i="2" s="1"/>
  <c r="M1293" i="2" a="1"/>
  <c r="M1293" i="2" s="1"/>
  <c r="M1294" i="2" a="1"/>
  <c r="M1294" i="2" s="1"/>
  <c r="M1295" i="2" a="1"/>
  <c r="M1295" i="2" s="1"/>
  <c r="M1296" i="2" a="1"/>
  <c r="M1296" i="2" s="1"/>
  <c r="M1297" i="2" a="1"/>
  <c r="M1297" i="2" s="1"/>
  <c r="M1298" i="2" a="1"/>
  <c r="M1298" i="2" s="1"/>
  <c r="M1299" i="2" a="1"/>
  <c r="M1299" i="2" s="1"/>
  <c r="M1300" i="2" a="1"/>
  <c r="M1300" i="2" s="1"/>
  <c r="M1301" i="2" a="1"/>
  <c r="M1301" i="2" s="1"/>
  <c r="M1302" i="2" a="1"/>
  <c r="M1302" i="2" s="1"/>
  <c r="M1303" i="2" a="1"/>
  <c r="M1303" i="2" s="1"/>
  <c r="M1304" i="2" a="1"/>
  <c r="M1304" i="2" s="1"/>
  <c r="M1305" i="2" a="1"/>
  <c r="M1305" i="2" s="1"/>
  <c r="M1306" i="2" a="1"/>
  <c r="M1306" i="2" s="1"/>
  <c r="M1307" i="2" a="1"/>
  <c r="M1307" i="2" s="1"/>
  <c r="M1308" i="2" a="1"/>
  <c r="M1308" i="2" s="1"/>
  <c r="M1309" i="2" a="1"/>
  <c r="M1309" i="2" s="1"/>
  <c r="M1310" i="2" a="1"/>
  <c r="M1310" i="2" s="1"/>
  <c r="M1311" i="2" a="1"/>
  <c r="M1311" i="2" s="1"/>
  <c r="M1312" i="2" a="1"/>
  <c r="M1312" i="2" s="1"/>
  <c r="M1313" i="2" a="1"/>
  <c r="M1313" i="2" s="1"/>
  <c r="M1314" i="2" a="1"/>
  <c r="M1314" i="2" s="1"/>
  <c r="M1315" i="2" a="1"/>
  <c r="M1315" i="2" s="1"/>
  <c r="M1316" i="2" a="1"/>
  <c r="M1316" i="2" s="1"/>
  <c r="M1317" i="2" a="1"/>
  <c r="M1317" i="2" s="1"/>
  <c r="M1318" i="2" a="1"/>
  <c r="M1318" i="2" s="1"/>
  <c r="M1319" i="2" a="1"/>
  <c r="M1319" i="2" s="1"/>
  <c r="M1320" i="2" a="1"/>
  <c r="M1320" i="2" s="1"/>
  <c r="M1321" i="2" a="1"/>
  <c r="M1321" i="2" s="1"/>
  <c r="M1322" i="2" a="1"/>
  <c r="M1322" i="2" s="1"/>
  <c r="M1323" i="2" a="1"/>
  <c r="M1323" i="2" s="1"/>
  <c r="M1324" i="2" a="1"/>
  <c r="M1324" i="2" s="1"/>
  <c r="M1325" i="2" a="1"/>
  <c r="M1325" i="2" s="1"/>
  <c r="M1326" i="2" a="1"/>
  <c r="M1326" i="2" s="1"/>
  <c r="M1327" i="2" a="1"/>
  <c r="M1327" i="2" s="1"/>
  <c r="M1328" i="2" a="1"/>
  <c r="M1328" i="2" s="1"/>
  <c r="M1329" i="2" a="1"/>
  <c r="M1329" i="2" s="1"/>
  <c r="M1330" i="2" a="1"/>
  <c r="M1330" i="2" s="1"/>
  <c r="M1331" i="2" a="1"/>
  <c r="M1331" i="2" s="1"/>
  <c r="M1332" i="2" a="1"/>
  <c r="M1332" i="2" s="1"/>
  <c r="M1333" i="2" a="1"/>
  <c r="M1333" i="2" s="1"/>
  <c r="M1334" i="2" a="1"/>
  <c r="M1334" i="2" s="1"/>
  <c r="M1335" i="2" a="1"/>
  <c r="M1335" i="2" s="1"/>
  <c r="M1336" i="2" a="1"/>
  <c r="M1336" i="2" s="1"/>
  <c r="M1337" i="2" a="1"/>
  <c r="M1337" i="2" s="1"/>
  <c r="M1338" i="2" a="1"/>
  <c r="M1338" i="2" s="1"/>
  <c r="M1339" i="2" a="1"/>
  <c r="M1339" i="2" s="1"/>
  <c r="M1340" i="2" a="1"/>
  <c r="M1340" i="2" s="1"/>
  <c r="M1341" i="2" a="1"/>
  <c r="M1341" i="2" s="1"/>
  <c r="M1342" i="2" a="1"/>
  <c r="M1342" i="2" s="1"/>
  <c r="M1343" i="2" a="1"/>
  <c r="M1343" i="2" s="1"/>
  <c r="M1344" i="2" a="1"/>
  <c r="M1344" i="2" s="1"/>
  <c r="M1345" i="2" a="1"/>
  <c r="M1345" i="2" s="1"/>
  <c r="M1346" i="2" a="1"/>
  <c r="M1346" i="2" s="1"/>
  <c r="M1347" i="2" a="1"/>
  <c r="M1347" i="2" s="1"/>
  <c r="M1348" i="2" a="1"/>
  <c r="M1348" i="2" s="1"/>
  <c r="M1349" i="2" a="1"/>
  <c r="M1349" i="2" s="1"/>
  <c r="M1350" i="2" a="1"/>
  <c r="M1350" i="2" s="1"/>
  <c r="M1351" i="2" a="1"/>
  <c r="M1351" i="2" s="1"/>
  <c r="M1352" i="2" a="1"/>
  <c r="M1352" i="2" s="1"/>
  <c r="M1353" i="2" a="1"/>
  <c r="M1353" i="2" s="1"/>
  <c r="M1354" i="2" a="1"/>
  <c r="M1354" i="2" s="1"/>
  <c r="M1355" i="2" a="1"/>
  <c r="M1355" i="2" s="1"/>
  <c r="M1356" i="2" a="1"/>
  <c r="M1356" i="2" s="1"/>
  <c r="M1357" i="2" a="1"/>
  <c r="M1357" i="2" s="1"/>
  <c r="M1358" i="2" a="1"/>
  <c r="M1358" i="2" s="1"/>
  <c r="M1359" i="2" a="1"/>
  <c r="M1359" i="2" s="1"/>
  <c r="M1360" i="2" a="1"/>
  <c r="M1360" i="2" s="1"/>
  <c r="M1361" i="2" a="1"/>
  <c r="M1361" i="2" s="1"/>
  <c r="M1362" i="2" a="1"/>
  <c r="M1362" i="2" s="1"/>
  <c r="M1363" i="2" a="1"/>
  <c r="M1363" i="2" s="1"/>
  <c r="M1364" i="2" a="1"/>
  <c r="M1364" i="2" s="1"/>
  <c r="M1365" i="2" a="1"/>
  <c r="M1365" i="2" s="1"/>
  <c r="M1366" i="2" a="1"/>
  <c r="M1366" i="2" s="1"/>
  <c r="M1367" i="2" a="1"/>
  <c r="M1367" i="2" s="1"/>
  <c r="M1368" i="2" a="1"/>
  <c r="M1368" i="2" s="1"/>
  <c r="M1369" i="2" a="1"/>
  <c r="M1369" i="2" s="1"/>
  <c r="M1370" i="2" a="1"/>
  <c r="M1370" i="2" s="1"/>
  <c r="M1371" i="2" a="1"/>
  <c r="M1371" i="2" s="1"/>
  <c r="M1372" i="2" a="1"/>
  <c r="M1372" i="2" s="1"/>
  <c r="M1373" i="2" a="1"/>
  <c r="M1373" i="2" s="1"/>
  <c r="M1374" i="2" a="1"/>
  <c r="M1374" i="2" s="1"/>
  <c r="M1375" i="2" a="1"/>
  <c r="M1375" i="2" s="1"/>
  <c r="M1376" i="2" a="1"/>
  <c r="M1376" i="2" s="1"/>
  <c r="M1377" i="2" a="1"/>
  <c r="M1377" i="2" s="1"/>
  <c r="M1378" i="2" a="1"/>
  <c r="M1378" i="2" s="1"/>
  <c r="M1379" i="2" a="1"/>
  <c r="M1379" i="2" s="1"/>
  <c r="M1380" i="2" a="1"/>
  <c r="M1380" i="2" s="1"/>
  <c r="M1381" i="2" a="1"/>
  <c r="M1381" i="2" s="1"/>
  <c r="M1382" i="2" a="1"/>
  <c r="M1382" i="2" s="1"/>
  <c r="M1383" i="2" a="1"/>
  <c r="M1383" i="2" s="1"/>
  <c r="M1384" i="2" a="1"/>
  <c r="M1384" i="2" s="1"/>
  <c r="M1385" i="2" a="1"/>
  <c r="M1385" i="2" s="1"/>
  <c r="M1386" i="2" a="1"/>
  <c r="M1386" i="2" s="1"/>
  <c r="M1387" i="2" a="1"/>
  <c r="M1387" i="2" s="1"/>
  <c r="M1388" i="2" a="1"/>
  <c r="M1388" i="2" s="1"/>
  <c r="M1389" i="2" a="1"/>
  <c r="M1389" i="2" s="1"/>
  <c r="M1390" i="2" a="1"/>
  <c r="M1390" i="2" s="1"/>
  <c r="M1391" i="2" a="1"/>
  <c r="M1391" i="2" s="1"/>
  <c r="M1392" i="2" a="1"/>
  <c r="M1392" i="2" s="1"/>
  <c r="M1393" i="2" a="1"/>
  <c r="M1393" i="2" s="1"/>
  <c r="M1394" i="2" a="1"/>
  <c r="M1394" i="2" s="1"/>
  <c r="M1395" i="2" a="1"/>
  <c r="M1395" i="2" s="1"/>
  <c r="M1396" i="2" a="1"/>
  <c r="M1396" i="2" s="1"/>
  <c r="M1397" i="2" a="1"/>
  <c r="M1397" i="2" s="1"/>
  <c r="M1398" i="2" a="1"/>
  <c r="M1398" i="2" s="1"/>
  <c r="M1399" i="2" a="1"/>
  <c r="M1399" i="2" s="1"/>
  <c r="M1400" i="2" a="1"/>
  <c r="M1400" i="2" s="1"/>
  <c r="M1401" i="2" a="1"/>
  <c r="M1401" i="2" s="1"/>
  <c r="M1402" i="2" a="1"/>
  <c r="M1402" i="2" s="1"/>
  <c r="M1403" i="2" a="1"/>
  <c r="M1403" i="2" s="1"/>
  <c r="M1404" i="2" a="1"/>
  <c r="M1404" i="2" s="1"/>
  <c r="M1405" i="2" a="1"/>
  <c r="M1405" i="2" s="1"/>
  <c r="M1406" i="2" a="1"/>
  <c r="M1406" i="2" s="1"/>
  <c r="M1407" i="2" a="1"/>
  <c r="M1407" i="2" s="1"/>
  <c r="M1408" i="2" a="1"/>
  <c r="M1408" i="2" s="1"/>
  <c r="M1409" i="2" a="1"/>
  <c r="M1409" i="2" s="1"/>
  <c r="M1410" i="2" a="1"/>
  <c r="M1410" i="2" s="1"/>
  <c r="M1411" i="2" a="1"/>
  <c r="M1411" i="2" s="1"/>
  <c r="M1412" i="2" a="1"/>
  <c r="M1412" i="2" s="1"/>
  <c r="M1413" i="2" a="1"/>
  <c r="M1413" i="2" s="1"/>
  <c r="M1414" i="2" a="1"/>
  <c r="M1414" i="2" s="1"/>
  <c r="M1415" i="2" a="1"/>
  <c r="M1415" i="2" s="1"/>
  <c r="M1416" i="2" a="1"/>
  <c r="M1416" i="2" s="1"/>
  <c r="M1417" i="2" a="1"/>
  <c r="M1417" i="2" s="1"/>
  <c r="M1418" i="2" a="1"/>
  <c r="M1418" i="2" s="1"/>
  <c r="M1419" i="2" a="1"/>
  <c r="M1419" i="2" s="1"/>
  <c r="M1420" i="2" a="1"/>
  <c r="M1420" i="2" s="1"/>
  <c r="M1421" i="2" a="1"/>
  <c r="M1421" i="2" s="1"/>
  <c r="M1422" i="2" a="1"/>
  <c r="M1422" i="2" s="1"/>
  <c r="M1423" i="2" a="1"/>
  <c r="M1423" i="2" s="1"/>
  <c r="M1424" i="2" a="1"/>
  <c r="M1424" i="2" s="1"/>
  <c r="M1425" i="2" a="1"/>
  <c r="M1425" i="2" s="1"/>
  <c r="M1426" i="2" a="1"/>
  <c r="M1426" i="2" s="1"/>
  <c r="M1427" i="2" a="1"/>
  <c r="M1427" i="2" s="1"/>
  <c r="M1428" i="2" a="1"/>
  <c r="M1428" i="2" s="1"/>
  <c r="M1429" i="2" a="1"/>
  <c r="M1429" i="2" s="1"/>
  <c r="M1430" i="2" a="1"/>
  <c r="M1430" i="2" s="1"/>
  <c r="M1431" i="2" a="1"/>
  <c r="M1431" i="2" s="1"/>
  <c r="M1432" i="2" a="1"/>
  <c r="M1432" i="2" s="1"/>
  <c r="M1433" i="2" a="1"/>
  <c r="M1433" i="2" s="1"/>
  <c r="M1434" i="2" a="1"/>
  <c r="M1434" i="2" s="1"/>
  <c r="M1435" i="2" a="1"/>
  <c r="M1435" i="2" s="1"/>
  <c r="M1436" i="2" a="1"/>
  <c r="M1436" i="2" s="1"/>
  <c r="M1437" i="2" a="1"/>
  <c r="M1437" i="2" s="1"/>
  <c r="M1438" i="2" a="1"/>
  <c r="M1438" i="2" s="1"/>
  <c r="M1439" i="2" a="1"/>
  <c r="M1439" i="2" s="1"/>
  <c r="M1440" i="2" a="1"/>
  <c r="M1440" i="2" s="1"/>
  <c r="M1441" i="2" a="1"/>
  <c r="M1441" i="2" s="1"/>
  <c r="M1442" i="2" a="1"/>
  <c r="M1442" i="2" s="1"/>
  <c r="M1443" i="2" a="1"/>
  <c r="M1443" i="2" s="1"/>
  <c r="M1444" i="2" a="1"/>
  <c r="M1444" i="2" s="1"/>
  <c r="M1445" i="2" a="1"/>
  <c r="M1445" i="2" s="1"/>
  <c r="M1446" i="2" a="1"/>
  <c r="M1446" i="2" s="1"/>
  <c r="M1447" i="2" a="1"/>
  <c r="M1447" i="2" s="1"/>
  <c r="M1448" i="2" a="1"/>
  <c r="M1448" i="2" s="1"/>
  <c r="M1449" i="2" a="1"/>
  <c r="M1449" i="2" s="1"/>
  <c r="M1450" i="2" a="1"/>
  <c r="M1450" i="2" s="1"/>
  <c r="M1451" i="2" a="1"/>
  <c r="M1451" i="2" s="1"/>
  <c r="M1452" i="2" a="1"/>
  <c r="M1452" i="2" s="1"/>
  <c r="M1453" i="2" a="1"/>
  <c r="M1453" i="2" s="1"/>
  <c r="M1454" i="2" a="1"/>
  <c r="M1454" i="2" s="1"/>
  <c r="M1455" i="2" a="1"/>
  <c r="M1455" i="2" s="1"/>
  <c r="M1456" i="2" a="1"/>
  <c r="M1456" i="2" s="1"/>
  <c r="M1457" i="2" a="1"/>
  <c r="M1457" i="2" s="1"/>
  <c r="M1458" i="2" a="1"/>
  <c r="M1458" i="2" s="1"/>
  <c r="M1459" i="2" a="1"/>
  <c r="M1459" i="2" s="1"/>
  <c r="M1460" i="2" a="1"/>
  <c r="M1460" i="2" s="1"/>
  <c r="M1461" i="2" a="1"/>
  <c r="M1461" i="2" s="1"/>
  <c r="M1462" i="2" a="1"/>
  <c r="M1462" i="2" s="1"/>
  <c r="M1463" i="2" a="1"/>
  <c r="M1463" i="2" s="1"/>
  <c r="M1464" i="2" a="1"/>
  <c r="M1464" i="2" s="1"/>
  <c r="M1465" i="2" a="1"/>
  <c r="M1465" i="2" s="1"/>
  <c r="M1466" i="2" a="1"/>
  <c r="M1466" i="2" s="1"/>
  <c r="M1467" i="2" a="1"/>
  <c r="M1467" i="2" s="1"/>
  <c r="M1468" i="2" a="1"/>
  <c r="M1468" i="2" s="1"/>
  <c r="M1469" i="2" a="1"/>
  <c r="M1469" i="2" s="1"/>
  <c r="M1470" i="2" a="1"/>
  <c r="M1470" i="2" s="1"/>
  <c r="M1471" i="2" a="1"/>
  <c r="M1471" i="2" s="1"/>
  <c r="M1472" i="2" a="1"/>
  <c r="M1472" i="2" s="1"/>
  <c r="M1473" i="2" a="1"/>
  <c r="M1473" i="2" s="1"/>
  <c r="M1474" i="2" a="1"/>
  <c r="M1474" i="2" s="1"/>
  <c r="M1475" i="2" a="1"/>
  <c r="M1475" i="2" s="1"/>
  <c r="M1476" i="2" a="1"/>
  <c r="M1476" i="2" s="1"/>
  <c r="M1477" i="2" a="1"/>
  <c r="M1477" i="2" s="1"/>
  <c r="M1478" i="2" a="1"/>
  <c r="M1478" i="2" s="1"/>
  <c r="M1479" i="2" a="1"/>
  <c r="M1479" i="2" s="1"/>
  <c r="M1480" i="2" a="1"/>
  <c r="M1480" i="2" s="1"/>
  <c r="M1481" i="2" a="1"/>
  <c r="M1481" i="2" s="1"/>
  <c r="M1482" i="2" a="1"/>
  <c r="M1482" i="2" s="1"/>
  <c r="M1483" i="2" a="1"/>
  <c r="M1483" i="2" s="1"/>
  <c r="M1484" i="2" a="1"/>
  <c r="M1484" i="2" s="1"/>
  <c r="M1485" i="2" a="1"/>
  <c r="M1485" i="2" s="1"/>
  <c r="M1486" i="2" a="1"/>
  <c r="M1486" i="2" s="1"/>
  <c r="M1487" i="2" a="1"/>
  <c r="M1487" i="2" s="1"/>
  <c r="M1488" i="2" a="1"/>
  <c r="M1488" i="2" s="1"/>
  <c r="M1489" i="2" a="1"/>
  <c r="M1489" i="2" s="1"/>
  <c r="M1490" i="2" a="1"/>
  <c r="M1490" i="2" s="1"/>
  <c r="M1491" i="2" a="1"/>
  <c r="M1491" i="2" s="1"/>
  <c r="M1492" i="2" a="1"/>
  <c r="M1492" i="2" s="1"/>
  <c r="M1493" i="2" a="1"/>
  <c r="M1493" i="2" s="1"/>
  <c r="M1494" i="2" a="1"/>
  <c r="M1494" i="2" s="1"/>
  <c r="M1495" i="2" a="1"/>
  <c r="M1495" i="2" s="1"/>
  <c r="M1496" i="2" a="1"/>
  <c r="M1496" i="2" s="1"/>
  <c r="M1497" i="2" a="1"/>
  <c r="M1497" i="2" s="1"/>
  <c r="M1498" i="2" a="1"/>
  <c r="M1498" i="2" s="1"/>
  <c r="M1499" i="2" a="1"/>
  <c r="M1499" i="2" s="1"/>
  <c r="M1500" i="2" a="1"/>
  <c r="M1500" i="2" s="1"/>
  <c r="M1501" i="2" a="1"/>
  <c r="M1501" i="2" s="1"/>
  <c r="M1502" i="2" a="1"/>
  <c r="M1502" i="2" s="1"/>
  <c r="M1503" i="2" a="1"/>
  <c r="M1503" i="2" s="1"/>
  <c r="M1504" i="2" a="1"/>
  <c r="M1504" i="2" s="1"/>
  <c r="M1505" i="2" a="1"/>
  <c r="M1505" i="2" s="1"/>
  <c r="M1506" i="2" a="1"/>
  <c r="M1506" i="2" s="1"/>
  <c r="M1507" i="2" a="1"/>
  <c r="M1507" i="2" s="1"/>
  <c r="M1508" i="2" a="1"/>
  <c r="M1508" i="2" s="1"/>
  <c r="M1509" i="2" a="1"/>
  <c r="M1509" i="2" s="1"/>
  <c r="M1510" i="2" a="1"/>
  <c r="M1510" i="2" s="1"/>
  <c r="M1511" i="2" a="1"/>
  <c r="M1511" i="2" s="1"/>
  <c r="M1512" i="2" a="1"/>
  <c r="M1512" i="2" s="1"/>
  <c r="M1513" i="2" a="1"/>
  <c r="M1513" i="2" s="1"/>
  <c r="M1514" i="2" a="1"/>
  <c r="M1514" i="2" s="1"/>
  <c r="M1515" i="2" a="1"/>
  <c r="M1515" i="2" s="1"/>
  <c r="M1516" i="2" a="1"/>
  <c r="M1516" i="2" s="1"/>
  <c r="M1517" i="2" a="1"/>
  <c r="M1517" i="2" s="1"/>
  <c r="M1518" i="2" a="1"/>
  <c r="M1518" i="2" s="1"/>
  <c r="M1519" i="2" a="1"/>
  <c r="M1519" i="2" s="1"/>
  <c r="M1520" i="2" a="1"/>
  <c r="M1520" i="2" s="1"/>
  <c r="M1521" i="2" a="1"/>
  <c r="M1521" i="2" s="1"/>
  <c r="M1522" i="2" a="1"/>
  <c r="M1522" i="2" s="1"/>
  <c r="M1523" i="2" a="1"/>
  <c r="M1523" i="2" s="1"/>
  <c r="M1524" i="2" a="1"/>
  <c r="M1524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G507" i="2"/>
  <c r="H507" i="2" s="1"/>
  <c r="G508" i="2"/>
  <c r="H508" i="2" s="1"/>
  <c r="G509" i="2"/>
  <c r="H509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H538" i="2" s="1"/>
  <c r="G539" i="2"/>
  <c r="H539" i="2" s="1"/>
  <c r="G540" i="2"/>
  <c r="H540" i="2" s="1"/>
  <c r="G541" i="2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G995" i="2"/>
  <c r="H995" i="2" s="1"/>
  <c r="G996" i="2"/>
  <c r="H996" i="2" s="1"/>
  <c r="G997" i="2"/>
  <c r="H997" i="2" s="1"/>
  <c r="G998" i="2"/>
  <c r="H998" i="2" s="1"/>
  <c r="G999" i="2"/>
  <c r="H999" i="2" s="1"/>
  <c r="G1000" i="2"/>
  <c r="H1000" i="2" s="1"/>
  <c r="G1001" i="2"/>
  <c r="H1001" i="2" s="1"/>
  <c r="G1002" i="2"/>
  <c r="H1002" i="2" s="1"/>
  <c r="G1003" i="2"/>
  <c r="H1003" i="2" s="1"/>
  <c r="G1004" i="2"/>
  <c r="H1004" i="2" s="1"/>
  <c r="G1005" i="2"/>
  <c r="H1005" i="2" s="1"/>
  <c r="G1006" i="2"/>
  <c r="H1006" i="2" s="1"/>
  <c r="G1007" i="2"/>
  <c r="H1007" i="2" s="1"/>
  <c r="G1008" i="2"/>
  <c r="H1008" i="2" s="1"/>
  <c r="G1009" i="2"/>
  <c r="H1009" i="2" s="1"/>
  <c r="G1010" i="2"/>
  <c r="H1010" i="2" s="1"/>
  <c r="G1011" i="2"/>
  <c r="H1011" i="2" s="1"/>
  <c r="G1012" i="2"/>
  <c r="H1012" i="2" s="1"/>
  <c r="G1013" i="2"/>
  <c r="H1013" i="2" s="1"/>
  <c r="G1014" i="2"/>
  <c r="H1014" i="2" s="1"/>
  <c r="G1015" i="2"/>
  <c r="H1015" i="2" s="1"/>
  <c r="G1016" i="2"/>
  <c r="H1016" i="2" s="1"/>
  <c r="G1017" i="2"/>
  <c r="H1017" i="2" s="1"/>
  <c r="G1018" i="2"/>
  <c r="H1018" i="2" s="1"/>
  <c r="G1019" i="2"/>
  <c r="H1019" i="2" s="1"/>
  <c r="G1020" i="2"/>
  <c r="H1020" i="2" s="1"/>
  <c r="G1021" i="2"/>
  <c r="H1021" i="2" s="1"/>
  <c r="G1022" i="2"/>
  <c r="H1022" i="2" s="1"/>
  <c r="G1023" i="2"/>
  <c r="H1023" i="2" s="1"/>
  <c r="G1024" i="2"/>
  <c r="H1024" i="2" s="1"/>
  <c r="G1025" i="2"/>
  <c r="H1025" i="2" s="1"/>
  <c r="G1026" i="2"/>
  <c r="H1026" i="2" s="1"/>
  <c r="G1027" i="2"/>
  <c r="H1027" i="2" s="1"/>
  <c r="G1028" i="2"/>
  <c r="H1028" i="2" s="1"/>
  <c r="G1029" i="2"/>
  <c r="H1029" i="2" s="1"/>
  <c r="G1030" i="2"/>
  <c r="H1030" i="2" s="1"/>
  <c r="G1031" i="2"/>
  <c r="H1031" i="2" s="1"/>
  <c r="G1032" i="2"/>
  <c r="H1032" i="2" s="1"/>
  <c r="G1033" i="2"/>
  <c r="H1033" i="2" s="1"/>
  <c r="G1034" i="2"/>
  <c r="H1034" i="2" s="1"/>
  <c r="G1035" i="2"/>
  <c r="H1035" i="2" s="1"/>
  <c r="G1036" i="2"/>
  <c r="H1036" i="2" s="1"/>
  <c r="G1037" i="2"/>
  <c r="H1037" i="2" s="1"/>
  <c r="G1038" i="2"/>
  <c r="H1038" i="2" s="1"/>
  <c r="G1039" i="2"/>
  <c r="H1039" i="2" s="1"/>
  <c r="G1040" i="2"/>
  <c r="H1040" i="2" s="1"/>
  <c r="G1041" i="2"/>
  <c r="H1041" i="2" s="1"/>
  <c r="G1042" i="2"/>
  <c r="H1042" i="2" s="1"/>
  <c r="G1043" i="2"/>
  <c r="H1043" i="2" s="1"/>
  <c r="G1044" i="2"/>
  <c r="H1044" i="2" s="1"/>
  <c r="G1045" i="2"/>
  <c r="H1045" i="2" s="1"/>
  <c r="G1046" i="2"/>
  <c r="H1046" i="2" s="1"/>
  <c r="G1047" i="2"/>
  <c r="H1047" i="2" s="1"/>
  <c r="G1048" i="2"/>
  <c r="H1048" i="2" s="1"/>
  <c r="G1049" i="2"/>
  <c r="H1049" i="2" s="1"/>
  <c r="G1050" i="2"/>
  <c r="H1050" i="2" s="1"/>
  <c r="G1051" i="2"/>
  <c r="H1051" i="2" s="1"/>
  <c r="G1052" i="2"/>
  <c r="H1052" i="2" s="1"/>
  <c r="G1053" i="2"/>
  <c r="H1053" i="2" s="1"/>
  <c r="G1054" i="2"/>
  <c r="H1054" i="2" s="1"/>
  <c r="G1055" i="2"/>
  <c r="H1055" i="2" s="1"/>
  <c r="G1056" i="2"/>
  <c r="H1056" i="2" s="1"/>
  <c r="G1057" i="2"/>
  <c r="H1057" i="2" s="1"/>
  <c r="G1058" i="2"/>
  <c r="H1058" i="2" s="1"/>
  <c r="G1059" i="2"/>
  <c r="H1059" i="2" s="1"/>
  <c r="G1060" i="2"/>
  <c r="H1060" i="2" s="1"/>
  <c r="G1061" i="2"/>
  <c r="H1061" i="2" s="1"/>
  <c r="G1062" i="2"/>
  <c r="H1062" i="2" s="1"/>
  <c r="G1063" i="2"/>
  <c r="H1063" i="2" s="1"/>
  <c r="G1064" i="2"/>
  <c r="H1064" i="2" s="1"/>
  <c r="G1065" i="2"/>
  <c r="H1065" i="2" s="1"/>
  <c r="G1066" i="2"/>
  <c r="H1066" i="2" s="1"/>
  <c r="G1067" i="2"/>
  <c r="H1067" i="2" s="1"/>
  <c r="G1068" i="2"/>
  <c r="H1068" i="2" s="1"/>
  <c r="G1069" i="2"/>
  <c r="H1069" i="2" s="1"/>
  <c r="G1070" i="2"/>
  <c r="H1070" i="2" s="1"/>
  <c r="G1071" i="2"/>
  <c r="H1071" i="2" s="1"/>
  <c r="G1072" i="2"/>
  <c r="H1072" i="2" s="1"/>
  <c r="G1073" i="2"/>
  <c r="H1073" i="2" s="1"/>
  <c r="G1074" i="2"/>
  <c r="H1074" i="2" s="1"/>
  <c r="G1075" i="2"/>
  <c r="H1075" i="2" s="1"/>
  <c r="G1076" i="2"/>
  <c r="H1076" i="2" s="1"/>
  <c r="G1077" i="2"/>
  <c r="H1077" i="2" s="1"/>
  <c r="G1078" i="2"/>
  <c r="H1078" i="2" s="1"/>
  <c r="G1079" i="2"/>
  <c r="H1079" i="2" s="1"/>
  <c r="G1080" i="2"/>
  <c r="H1080" i="2" s="1"/>
  <c r="G1081" i="2"/>
  <c r="H1081" i="2" s="1"/>
  <c r="G1082" i="2"/>
  <c r="H1082" i="2" s="1"/>
  <c r="G1083" i="2"/>
  <c r="H1083" i="2" s="1"/>
  <c r="G1084" i="2"/>
  <c r="H1084" i="2" s="1"/>
  <c r="G1085" i="2"/>
  <c r="H1085" i="2" s="1"/>
  <c r="G1086" i="2"/>
  <c r="H1086" i="2" s="1"/>
  <c r="G1087" i="2"/>
  <c r="H1087" i="2" s="1"/>
  <c r="G1088" i="2"/>
  <c r="H1088" i="2" s="1"/>
  <c r="G1089" i="2"/>
  <c r="H1089" i="2" s="1"/>
  <c r="G1090" i="2"/>
  <c r="H1090" i="2" s="1"/>
  <c r="G1091" i="2"/>
  <c r="H1091" i="2" s="1"/>
  <c r="G1092" i="2"/>
  <c r="H1092" i="2" s="1"/>
  <c r="G1093" i="2"/>
  <c r="H1093" i="2" s="1"/>
  <c r="G1094" i="2"/>
  <c r="H1094" i="2" s="1"/>
  <c r="G1095" i="2"/>
  <c r="H1095" i="2" s="1"/>
  <c r="G1096" i="2"/>
  <c r="H1096" i="2" s="1"/>
  <c r="G1097" i="2"/>
  <c r="H1097" i="2" s="1"/>
  <c r="G1098" i="2"/>
  <c r="H1098" i="2" s="1"/>
  <c r="G1099" i="2"/>
  <c r="H1099" i="2" s="1"/>
  <c r="G1100" i="2"/>
  <c r="H1100" i="2" s="1"/>
  <c r="G1101" i="2"/>
  <c r="H1101" i="2" s="1"/>
  <c r="G1102" i="2"/>
  <c r="H1102" i="2" s="1"/>
  <c r="G1103" i="2"/>
  <c r="H1103" i="2" s="1"/>
  <c r="G1104" i="2"/>
  <c r="H1104" i="2" s="1"/>
  <c r="G1105" i="2"/>
  <c r="H1105" i="2" s="1"/>
  <c r="G1106" i="2"/>
  <c r="H1106" i="2" s="1"/>
  <c r="G1107" i="2"/>
  <c r="H1107" i="2" s="1"/>
  <c r="G1108" i="2"/>
  <c r="H1108" i="2" s="1"/>
  <c r="G1109" i="2"/>
  <c r="H1109" i="2" s="1"/>
  <c r="G1110" i="2"/>
  <c r="H1110" i="2" s="1"/>
  <c r="G1111" i="2"/>
  <c r="H1111" i="2" s="1"/>
  <c r="G1112" i="2"/>
  <c r="H1112" i="2" s="1"/>
  <c r="G1113" i="2"/>
  <c r="H1113" i="2" s="1"/>
  <c r="G1114" i="2"/>
  <c r="H1114" i="2" s="1"/>
  <c r="G1115" i="2"/>
  <c r="H1115" i="2" s="1"/>
  <c r="G1116" i="2"/>
  <c r="H1116" i="2" s="1"/>
  <c r="G1117" i="2"/>
  <c r="H1117" i="2" s="1"/>
  <c r="G1118" i="2"/>
  <c r="H1118" i="2" s="1"/>
  <c r="G1119" i="2"/>
  <c r="H1119" i="2" s="1"/>
  <c r="G1120" i="2"/>
  <c r="H1120" i="2" s="1"/>
  <c r="G1121" i="2"/>
  <c r="H1121" i="2" s="1"/>
  <c r="G1122" i="2"/>
  <c r="H1122" i="2" s="1"/>
  <c r="G1123" i="2"/>
  <c r="H1123" i="2" s="1"/>
  <c r="G1124" i="2"/>
  <c r="H1124" i="2" s="1"/>
  <c r="G1125" i="2"/>
  <c r="H1125" i="2" s="1"/>
  <c r="G1126" i="2"/>
  <c r="H1126" i="2" s="1"/>
  <c r="G1127" i="2"/>
  <c r="H1127" i="2" s="1"/>
  <c r="G1128" i="2"/>
  <c r="H1128" i="2" s="1"/>
  <c r="G1129" i="2"/>
  <c r="H1129" i="2" s="1"/>
  <c r="G1130" i="2"/>
  <c r="H1130" i="2" s="1"/>
  <c r="G1131" i="2"/>
  <c r="H1131" i="2" s="1"/>
  <c r="G1132" i="2"/>
  <c r="H1132" i="2" s="1"/>
  <c r="G1133" i="2"/>
  <c r="H1133" i="2" s="1"/>
  <c r="G1134" i="2"/>
  <c r="H1134" i="2" s="1"/>
  <c r="G1135" i="2"/>
  <c r="H1135" i="2" s="1"/>
  <c r="G1136" i="2"/>
  <c r="H1136" i="2" s="1"/>
  <c r="G1137" i="2"/>
  <c r="H1137" i="2" s="1"/>
  <c r="G1138" i="2"/>
  <c r="H1138" i="2" s="1"/>
  <c r="G1139" i="2"/>
  <c r="H1139" i="2" s="1"/>
  <c r="G1140" i="2"/>
  <c r="H1140" i="2" s="1"/>
  <c r="G1141" i="2"/>
  <c r="H1141" i="2" s="1"/>
  <c r="G1142" i="2"/>
  <c r="H1142" i="2" s="1"/>
  <c r="G1143" i="2"/>
  <c r="H1143" i="2" s="1"/>
  <c r="G1144" i="2"/>
  <c r="H1144" i="2" s="1"/>
  <c r="G1145" i="2"/>
  <c r="H1145" i="2" s="1"/>
  <c r="G1146" i="2"/>
  <c r="H1146" i="2" s="1"/>
  <c r="G1147" i="2"/>
  <c r="H1147" i="2" s="1"/>
  <c r="G1148" i="2"/>
  <c r="H1148" i="2" s="1"/>
  <c r="G1149" i="2"/>
  <c r="H1149" i="2" s="1"/>
  <c r="G1150" i="2"/>
  <c r="H1150" i="2" s="1"/>
  <c r="G1151" i="2"/>
  <c r="H1151" i="2" s="1"/>
  <c r="G1152" i="2"/>
  <c r="H1152" i="2" s="1"/>
  <c r="G1153" i="2"/>
  <c r="H1153" i="2" s="1"/>
  <c r="G1154" i="2"/>
  <c r="H1154" i="2" s="1"/>
  <c r="G1155" i="2"/>
  <c r="H1155" i="2" s="1"/>
  <c r="G1156" i="2"/>
  <c r="H1156" i="2" s="1"/>
  <c r="G1157" i="2"/>
  <c r="H1157" i="2" s="1"/>
  <c r="G1158" i="2"/>
  <c r="H1158" i="2" s="1"/>
  <c r="G1159" i="2"/>
  <c r="H1159" i="2" s="1"/>
  <c r="G1160" i="2"/>
  <c r="H1160" i="2" s="1"/>
  <c r="G1161" i="2"/>
  <c r="H1161" i="2" s="1"/>
  <c r="G1162" i="2"/>
  <c r="H1162" i="2" s="1"/>
  <c r="G1163" i="2"/>
  <c r="H1163" i="2" s="1"/>
  <c r="G1164" i="2"/>
  <c r="H1164" i="2" s="1"/>
  <c r="G1165" i="2"/>
  <c r="H1165" i="2" s="1"/>
  <c r="G1166" i="2"/>
  <c r="H1166" i="2" s="1"/>
  <c r="G1167" i="2"/>
  <c r="H1167" i="2" s="1"/>
  <c r="G1168" i="2"/>
  <c r="H1168" i="2" s="1"/>
  <c r="G1169" i="2"/>
  <c r="H1169" i="2" s="1"/>
  <c r="G1170" i="2"/>
  <c r="H1170" i="2" s="1"/>
  <c r="G1171" i="2"/>
  <c r="H1171" i="2" s="1"/>
  <c r="G1172" i="2"/>
  <c r="H1172" i="2" s="1"/>
  <c r="G1173" i="2"/>
  <c r="H1173" i="2" s="1"/>
  <c r="G1174" i="2"/>
  <c r="H1174" i="2" s="1"/>
  <c r="G1175" i="2"/>
  <c r="H1175" i="2" s="1"/>
  <c r="G1176" i="2"/>
  <c r="H1176" i="2" s="1"/>
  <c r="G1177" i="2"/>
  <c r="H1177" i="2" s="1"/>
  <c r="G1178" i="2"/>
  <c r="H1178" i="2" s="1"/>
  <c r="G1179" i="2"/>
  <c r="H1179" i="2" s="1"/>
  <c r="G1180" i="2"/>
  <c r="H1180" i="2" s="1"/>
  <c r="G1181" i="2"/>
  <c r="H1181" i="2" s="1"/>
  <c r="G1182" i="2"/>
  <c r="H1182" i="2" s="1"/>
  <c r="G1183" i="2"/>
  <c r="H1183" i="2" s="1"/>
  <c r="G1184" i="2"/>
  <c r="H1184" i="2" s="1"/>
  <c r="G1185" i="2"/>
  <c r="H1185" i="2" s="1"/>
  <c r="G1186" i="2"/>
  <c r="H1186" i="2" s="1"/>
  <c r="G1187" i="2"/>
  <c r="H1187" i="2" s="1"/>
  <c r="G1188" i="2"/>
  <c r="H1188" i="2" s="1"/>
  <c r="G1189" i="2"/>
  <c r="H1189" i="2" s="1"/>
  <c r="G1190" i="2"/>
  <c r="H1190" i="2" s="1"/>
  <c r="G1191" i="2"/>
  <c r="H1191" i="2" s="1"/>
  <c r="G1192" i="2"/>
  <c r="H1192" i="2" s="1"/>
  <c r="G1193" i="2"/>
  <c r="H1193" i="2" s="1"/>
  <c r="G1194" i="2"/>
  <c r="H1194" i="2" s="1"/>
  <c r="G1195" i="2"/>
  <c r="H1195" i="2" s="1"/>
  <c r="G1196" i="2"/>
  <c r="H1196" i="2" s="1"/>
  <c r="G1197" i="2"/>
  <c r="H1197" i="2" s="1"/>
  <c r="G1198" i="2"/>
  <c r="H1198" i="2" s="1"/>
  <c r="G1199" i="2"/>
  <c r="H1199" i="2" s="1"/>
  <c r="G1200" i="2"/>
  <c r="H1200" i="2" s="1"/>
  <c r="G1201" i="2"/>
  <c r="H1201" i="2" s="1"/>
  <c r="G1202" i="2"/>
  <c r="H1202" i="2" s="1"/>
  <c r="G1203" i="2"/>
  <c r="H1203" i="2" s="1"/>
  <c r="G1204" i="2"/>
  <c r="H1204" i="2" s="1"/>
  <c r="G1205" i="2"/>
  <c r="H1205" i="2" s="1"/>
  <c r="G1206" i="2"/>
  <c r="H1206" i="2" s="1"/>
  <c r="G1207" i="2"/>
  <c r="H1207" i="2" s="1"/>
  <c r="G1208" i="2"/>
  <c r="H1208" i="2" s="1"/>
  <c r="G1209" i="2"/>
  <c r="H1209" i="2" s="1"/>
  <c r="G1210" i="2"/>
  <c r="H1210" i="2" s="1"/>
  <c r="G1211" i="2"/>
  <c r="H1211" i="2" s="1"/>
  <c r="G1212" i="2"/>
  <c r="H1212" i="2" s="1"/>
  <c r="G1213" i="2"/>
  <c r="H1213" i="2" s="1"/>
  <c r="G1214" i="2"/>
  <c r="H1214" i="2" s="1"/>
  <c r="G1215" i="2"/>
  <c r="H1215" i="2" s="1"/>
  <c r="G1216" i="2"/>
  <c r="H1216" i="2" s="1"/>
  <c r="G1217" i="2"/>
  <c r="H1217" i="2" s="1"/>
  <c r="G1218" i="2"/>
  <c r="H1218" i="2" s="1"/>
  <c r="G1219" i="2"/>
  <c r="H1219" i="2" s="1"/>
  <c r="G1220" i="2"/>
  <c r="H1220" i="2" s="1"/>
  <c r="G1221" i="2"/>
  <c r="H1221" i="2" s="1"/>
  <c r="G1222" i="2"/>
  <c r="H1222" i="2" s="1"/>
  <c r="G1223" i="2"/>
  <c r="H1223" i="2" s="1"/>
  <c r="G1224" i="2"/>
  <c r="H1224" i="2" s="1"/>
  <c r="G1225" i="2"/>
  <c r="H1225" i="2" s="1"/>
  <c r="G1226" i="2"/>
  <c r="H1226" i="2" s="1"/>
  <c r="G1227" i="2"/>
  <c r="H1227" i="2" s="1"/>
  <c r="G1228" i="2"/>
  <c r="H1228" i="2" s="1"/>
  <c r="G1229" i="2"/>
  <c r="H1229" i="2" s="1"/>
  <c r="G1230" i="2"/>
  <c r="H1230" i="2" s="1"/>
  <c r="G1231" i="2"/>
  <c r="H1231" i="2" s="1"/>
  <c r="G1232" i="2"/>
  <c r="H1232" i="2" s="1"/>
  <c r="G1233" i="2"/>
  <c r="H1233" i="2" s="1"/>
  <c r="G1234" i="2"/>
  <c r="H1234" i="2" s="1"/>
  <c r="G1235" i="2"/>
  <c r="H1235" i="2" s="1"/>
  <c r="G1236" i="2"/>
  <c r="H1236" i="2" s="1"/>
  <c r="G1237" i="2"/>
  <c r="H1237" i="2" s="1"/>
  <c r="G1238" i="2"/>
  <c r="H1238" i="2" s="1"/>
  <c r="G1239" i="2"/>
  <c r="H1239" i="2" s="1"/>
  <c r="G1240" i="2"/>
  <c r="H1240" i="2" s="1"/>
  <c r="G1241" i="2"/>
  <c r="H1241" i="2" s="1"/>
  <c r="G1242" i="2"/>
  <c r="H1242" i="2" s="1"/>
  <c r="G1243" i="2"/>
  <c r="H1243" i="2" s="1"/>
  <c r="G1244" i="2"/>
  <c r="H1244" i="2" s="1"/>
  <c r="G1245" i="2"/>
  <c r="H1245" i="2" s="1"/>
  <c r="G1246" i="2"/>
  <c r="H1246" i="2" s="1"/>
  <c r="G1247" i="2"/>
  <c r="H1247" i="2" s="1"/>
  <c r="G1248" i="2"/>
  <c r="H1248" i="2" s="1"/>
  <c r="G1249" i="2"/>
  <c r="H1249" i="2" s="1"/>
  <c r="G1250" i="2"/>
  <c r="H1250" i="2" s="1"/>
  <c r="G1251" i="2"/>
  <c r="H1251" i="2" s="1"/>
  <c r="G1252" i="2"/>
  <c r="H1252" i="2" s="1"/>
  <c r="G1253" i="2"/>
  <c r="H1253" i="2" s="1"/>
  <c r="G1254" i="2"/>
  <c r="H1254" i="2" s="1"/>
  <c r="G1255" i="2"/>
  <c r="H1255" i="2" s="1"/>
  <c r="G1256" i="2"/>
  <c r="H1256" i="2" s="1"/>
  <c r="G1257" i="2"/>
  <c r="H1257" i="2" s="1"/>
  <c r="G1258" i="2"/>
  <c r="H1258" i="2" s="1"/>
  <c r="G1259" i="2"/>
  <c r="H1259" i="2" s="1"/>
  <c r="G1260" i="2"/>
  <c r="H1260" i="2" s="1"/>
  <c r="G1261" i="2"/>
  <c r="H1261" i="2" s="1"/>
  <c r="G1262" i="2"/>
  <c r="H1262" i="2" s="1"/>
  <c r="G1263" i="2"/>
  <c r="H1263" i="2" s="1"/>
  <c r="G1264" i="2"/>
  <c r="H1264" i="2" s="1"/>
  <c r="G1265" i="2"/>
  <c r="H1265" i="2" s="1"/>
  <c r="G1266" i="2"/>
  <c r="H1266" i="2" s="1"/>
  <c r="G1267" i="2"/>
  <c r="H1267" i="2" s="1"/>
  <c r="G1268" i="2"/>
  <c r="H1268" i="2" s="1"/>
  <c r="G1269" i="2"/>
  <c r="H1269" i="2" s="1"/>
  <c r="G1270" i="2"/>
  <c r="H1270" i="2" s="1"/>
  <c r="G1271" i="2"/>
  <c r="H1271" i="2" s="1"/>
  <c r="G1272" i="2"/>
  <c r="H1272" i="2" s="1"/>
  <c r="G1273" i="2"/>
  <c r="H1273" i="2" s="1"/>
  <c r="G1274" i="2"/>
  <c r="H1274" i="2" s="1"/>
  <c r="G1275" i="2"/>
  <c r="H1275" i="2" s="1"/>
  <c r="G1276" i="2"/>
  <c r="H1276" i="2" s="1"/>
  <c r="G1277" i="2"/>
  <c r="H1277" i="2" s="1"/>
  <c r="G1278" i="2"/>
  <c r="H1278" i="2" s="1"/>
  <c r="G1279" i="2"/>
  <c r="H1279" i="2" s="1"/>
  <c r="G1280" i="2"/>
  <c r="H1280" i="2" s="1"/>
  <c r="G1281" i="2"/>
  <c r="H1281" i="2" s="1"/>
  <c r="G1282" i="2"/>
  <c r="H1282" i="2" s="1"/>
  <c r="G1283" i="2"/>
  <c r="H1283" i="2" s="1"/>
  <c r="G1284" i="2"/>
  <c r="H1284" i="2" s="1"/>
  <c r="G1285" i="2"/>
  <c r="H1285" i="2" s="1"/>
  <c r="G1286" i="2"/>
  <c r="H1286" i="2" s="1"/>
  <c r="G1287" i="2"/>
  <c r="H1287" i="2" s="1"/>
  <c r="G1288" i="2"/>
  <c r="H1288" i="2" s="1"/>
  <c r="G1289" i="2"/>
  <c r="H1289" i="2" s="1"/>
  <c r="G1290" i="2"/>
  <c r="H1290" i="2" s="1"/>
  <c r="G1291" i="2"/>
  <c r="H1291" i="2" s="1"/>
  <c r="G1292" i="2"/>
  <c r="H1292" i="2" s="1"/>
  <c r="G1293" i="2"/>
  <c r="H1293" i="2" s="1"/>
  <c r="G1294" i="2"/>
  <c r="H1294" i="2" s="1"/>
  <c r="G1295" i="2"/>
  <c r="H1295" i="2" s="1"/>
  <c r="G1296" i="2"/>
  <c r="H1296" i="2" s="1"/>
  <c r="G1297" i="2"/>
  <c r="H1297" i="2" s="1"/>
  <c r="G1298" i="2"/>
  <c r="H1298" i="2" s="1"/>
  <c r="G1299" i="2"/>
  <c r="H1299" i="2" s="1"/>
  <c r="G1300" i="2"/>
  <c r="H1300" i="2" s="1"/>
  <c r="G1301" i="2"/>
  <c r="H1301" i="2" s="1"/>
  <c r="G1302" i="2"/>
  <c r="H1302" i="2" s="1"/>
  <c r="G1303" i="2"/>
  <c r="H1303" i="2" s="1"/>
  <c r="G1304" i="2"/>
  <c r="H1304" i="2" s="1"/>
  <c r="G1305" i="2"/>
  <c r="H1305" i="2" s="1"/>
  <c r="G1306" i="2"/>
  <c r="H1306" i="2" s="1"/>
  <c r="G1307" i="2"/>
  <c r="H1307" i="2" s="1"/>
  <c r="G1308" i="2"/>
  <c r="H1308" i="2" s="1"/>
  <c r="G1309" i="2"/>
  <c r="H1309" i="2" s="1"/>
  <c r="G1310" i="2"/>
  <c r="H1310" i="2" s="1"/>
  <c r="G1311" i="2"/>
  <c r="H1311" i="2" s="1"/>
  <c r="G1312" i="2"/>
  <c r="H1312" i="2" s="1"/>
  <c r="G1313" i="2"/>
  <c r="H1313" i="2" s="1"/>
  <c r="G1314" i="2"/>
  <c r="H1314" i="2" s="1"/>
  <c r="G1315" i="2"/>
  <c r="H1315" i="2" s="1"/>
  <c r="G1316" i="2"/>
  <c r="H1316" i="2" s="1"/>
  <c r="G1317" i="2"/>
  <c r="H1317" i="2" s="1"/>
  <c r="G1318" i="2"/>
  <c r="H1318" i="2" s="1"/>
  <c r="G1319" i="2"/>
  <c r="H1319" i="2" s="1"/>
  <c r="G1320" i="2"/>
  <c r="H1320" i="2" s="1"/>
  <c r="G1321" i="2"/>
  <c r="H1321" i="2" s="1"/>
  <c r="G1322" i="2"/>
  <c r="H1322" i="2" s="1"/>
  <c r="G1323" i="2"/>
  <c r="H1323" i="2" s="1"/>
  <c r="G1324" i="2"/>
  <c r="H1324" i="2" s="1"/>
  <c r="G1325" i="2"/>
  <c r="H1325" i="2" s="1"/>
  <c r="G1326" i="2"/>
  <c r="H1326" i="2" s="1"/>
  <c r="G1327" i="2"/>
  <c r="H1327" i="2" s="1"/>
  <c r="G1328" i="2"/>
  <c r="H1328" i="2" s="1"/>
  <c r="G1329" i="2"/>
  <c r="H1329" i="2" s="1"/>
  <c r="G1330" i="2"/>
  <c r="H1330" i="2" s="1"/>
  <c r="G1331" i="2"/>
  <c r="H1331" i="2" s="1"/>
  <c r="G1332" i="2"/>
  <c r="H1332" i="2" s="1"/>
  <c r="G1333" i="2"/>
  <c r="H1333" i="2" s="1"/>
  <c r="G1334" i="2"/>
  <c r="H1334" i="2" s="1"/>
  <c r="G1335" i="2"/>
  <c r="H1335" i="2" s="1"/>
  <c r="G1336" i="2"/>
  <c r="H1336" i="2" s="1"/>
  <c r="G1337" i="2"/>
  <c r="H1337" i="2" s="1"/>
  <c r="G1338" i="2"/>
  <c r="H1338" i="2" s="1"/>
  <c r="G1339" i="2"/>
  <c r="H1339" i="2" s="1"/>
  <c r="G1340" i="2"/>
  <c r="H1340" i="2" s="1"/>
  <c r="G1341" i="2"/>
  <c r="H1341" i="2" s="1"/>
  <c r="G1342" i="2"/>
  <c r="H1342" i="2" s="1"/>
  <c r="G1343" i="2"/>
  <c r="H1343" i="2" s="1"/>
  <c r="G1344" i="2"/>
  <c r="H1344" i="2" s="1"/>
  <c r="G1345" i="2"/>
  <c r="H1345" i="2" s="1"/>
  <c r="G1346" i="2"/>
  <c r="H1346" i="2" s="1"/>
  <c r="G1347" i="2"/>
  <c r="H1347" i="2" s="1"/>
  <c r="G1348" i="2"/>
  <c r="H1348" i="2" s="1"/>
  <c r="G1349" i="2"/>
  <c r="H1349" i="2" s="1"/>
  <c r="G1350" i="2"/>
  <c r="H1350" i="2" s="1"/>
  <c r="G1351" i="2"/>
  <c r="H1351" i="2" s="1"/>
  <c r="G1352" i="2"/>
  <c r="H1352" i="2" s="1"/>
  <c r="G1353" i="2"/>
  <c r="H1353" i="2" s="1"/>
  <c r="G1354" i="2"/>
  <c r="H1354" i="2" s="1"/>
  <c r="G1355" i="2"/>
  <c r="H1355" i="2" s="1"/>
  <c r="G1356" i="2"/>
  <c r="H1356" i="2" s="1"/>
  <c r="G1357" i="2"/>
  <c r="H1357" i="2" s="1"/>
  <c r="G1358" i="2"/>
  <c r="H1358" i="2" s="1"/>
  <c r="G1359" i="2"/>
  <c r="H1359" i="2" s="1"/>
  <c r="G1360" i="2"/>
  <c r="H1360" i="2" s="1"/>
  <c r="G1361" i="2"/>
  <c r="H1361" i="2" s="1"/>
  <c r="G1362" i="2"/>
  <c r="H1362" i="2" s="1"/>
  <c r="G1363" i="2"/>
  <c r="H1363" i="2" s="1"/>
  <c r="G1364" i="2"/>
  <c r="H1364" i="2" s="1"/>
  <c r="G1365" i="2"/>
  <c r="H1365" i="2" s="1"/>
  <c r="G1366" i="2"/>
  <c r="H1366" i="2" s="1"/>
  <c r="G1367" i="2"/>
  <c r="H1367" i="2" s="1"/>
  <c r="G1368" i="2"/>
  <c r="H1368" i="2" s="1"/>
  <c r="G1369" i="2"/>
  <c r="H1369" i="2" s="1"/>
  <c r="G1370" i="2"/>
  <c r="H1370" i="2" s="1"/>
  <c r="G1371" i="2"/>
  <c r="H1371" i="2" s="1"/>
  <c r="G1372" i="2"/>
  <c r="H1372" i="2" s="1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G122" i="2"/>
  <c r="H122" i="2" s="1"/>
  <c r="J122" i="2"/>
  <c r="AJ90" i="2" a="1"/>
  <c r="AJ90" i="2" s="1"/>
  <c r="AJ91" i="2" a="1"/>
  <c r="AJ91" i="2" s="1"/>
  <c r="AJ92" i="2" a="1"/>
  <c r="AJ92" i="2" s="1"/>
  <c r="AJ94" i="2" a="1"/>
  <c r="AJ94" i="2" s="1"/>
  <c r="AJ95" i="2" a="1"/>
  <c r="AJ95" i="2" s="1"/>
  <c r="AJ96" i="2" a="1"/>
  <c r="AJ96" i="2" s="1"/>
  <c r="AJ97" i="2" a="1"/>
  <c r="AJ97" i="2" s="1"/>
  <c r="AJ98" i="2" a="1"/>
  <c r="AJ98" i="2" s="1"/>
  <c r="AJ100" i="2" a="1"/>
  <c r="AJ100" i="2" s="1"/>
  <c r="AJ101" i="2" a="1"/>
  <c r="AJ101" i="2" s="1"/>
  <c r="AJ102" i="2" a="1"/>
  <c r="AJ102" i="2" s="1"/>
  <c r="AJ104" i="2" a="1"/>
  <c r="AJ104" i="2" s="1"/>
  <c r="AJ110" i="2" a="1"/>
  <c r="AJ110" i="2" s="1"/>
  <c r="AJ111" i="2" a="1"/>
  <c r="AJ111" i="2" s="1"/>
  <c r="AJ112" i="2" a="1"/>
  <c r="AJ112" i="2" s="1"/>
  <c r="AJ113" i="2" a="1"/>
  <c r="AJ113" i="2" s="1"/>
  <c r="AJ114" i="2" a="1"/>
  <c r="AJ114" i="2" s="1"/>
  <c r="AJ115" i="2" a="1"/>
  <c r="AJ115" i="2" s="1"/>
  <c r="AJ116" i="2" a="1"/>
  <c r="AJ116" i="2" s="1"/>
  <c r="AJ117" i="2" a="1"/>
  <c r="AJ117" i="2" s="1"/>
  <c r="AJ118" i="2" a="1"/>
  <c r="AJ118" i="2" s="1"/>
  <c r="AJ119" i="2" a="1"/>
  <c r="AJ119" i="2" s="1"/>
  <c r="AJ121" i="2" a="1"/>
  <c r="AJ121" i="2" s="1"/>
  <c r="AJ123" i="2" a="1"/>
  <c r="AJ123" i="2" s="1"/>
  <c r="M121" i="2" a="1"/>
  <c r="M121" i="2" s="1"/>
  <c r="M123" i="2" a="1"/>
  <c r="M123" i="2" s="1"/>
  <c r="G90" i="2"/>
  <c r="H90" i="2" s="1"/>
  <c r="G91" i="2"/>
  <c r="H91" i="2" s="1"/>
  <c r="G92" i="2"/>
  <c r="H92" i="2" s="1"/>
  <c r="G94" i="2"/>
  <c r="H94" i="2" s="1"/>
  <c r="G95" i="2"/>
  <c r="H95" i="2" s="1"/>
  <c r="G96" i="2"/>
  <c r="H96" i="2" s="1"/>
  <c r="G97" i="2"/>
  <c r="H97" i="2" s="1"/>
  <c r="G98" i="2"/>
  <c r="H98" i="2" s="1"/>
  <c r="G100" i="2"/>
  <c r="H100" i="2" s="1"/>
  <c r="G101" i="2"/>
  <c r="H101" i="2" s="1"/>
  <c r="G102" i="2"/>
  <c r="H102" i="2" s="1"/>
  <c r="G104" i="2"/>
  <c r="H104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1" i="2"/>
  <c r="H121" i="2" s="1"/>
  <c r="G123" i="2"/>
  <c r="H123" i="2" s="1"/>
  <c r="J90" i="2"/>
  <c r="J91" i="2"/>
  <c r="J92" i="2"/>
  <c r="J94" i="2"/>
  <c r="J95" i="2"/>
  <c r="J96" i="2"/>
  <c r="J97" i="2"/>
  <c r="J98" i="2"/>
  <c r="J100" i="2"/>
  <c r="J101" i="2"/>
  <c r="J102" i="2"/>
  <c r="J104" i="2"/>
  <c r="J110" i="2"/>
  <c r="J111" i="2"/>
  <c r="J112" i="2"/>
  <c r="J113" i="2"/>
  <c r="J114" i="2"/>
  <c r="J115" i="2"/>
  <c r="J116" i="2"/>
  <c r="J117" i="2"/>
  <c r="J118" i="2"/>
  <c r="J119" i="2"/>
  <c r="J121" i="2"/>
  <c r="J123" i="2"/>
  <c r="G57" i="2"/>
  <c r="H57" i="2" s="1"/>
  <c r="J57" i="2"/>
  <c r="M2" i="2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54" i="2" a="1"/>
  <c r="M54" i="2" s="1"/>
  <c r="M55" i="2" a="1"/>
  <c r="M55" i="2" s="1"/>
  <c r="M56" i="2" a="1"/>
  <c r="M56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90" i="2" a="1"/>
  <c r="M90" i="2" s="1"/>
  <c r="M91" i="2" a="1"/>
  <c r="M91" i="2" s="1"/>
  <c r="M92" i="2" a="1"/>
  <c r="M92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100" i="2" a="1"/>
  <c r="M100" i="2" s="1"/>
  <c r="M101" i="2" a="1"/>
  <c r="M101" i="2" s="1"/>
  <c r="M102" i="2" a="1"/>
  <c r="M102" i="2" s="1"/>
  <c r="M104" i="2" a="1"/>
  <c r="M104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J106" i="2"/>
  <c r="J107" i="2"/>
  <c r="J108" i="2"/>
  <c r="J2" i="2"/>
  <c r="J3" i="2"/>
  <c r="J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38" i="2"/>
  <c r="J39" i="2"/>
  <c r="J40" i="2"/>
  <c r="J41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38" i="2"/>
  <c r="H38" i="2" s="1"/>
  <c r="G39" i="2"/>
  <c r="H39" i="2" s="1"/>
  <c r="G40" i="2"/>
  <c r="H40" i="2" s="1"/>
  <c r="G41" i="2"/>
  <c r="H41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" i="2"/>
  <c r="H5" i="2" s="1"/>
  <c r="M106" i="2" a="1"/>
  <c r="M106" i="2" s="1"/>
  <c r="M107" i="2" a="1"/>
  <c r="M107" i="2" s="1"/>
  <c r="M108" i="2" a="1"/>
  <c r="M108" i="2" s="1"/>
  <c r="G2" i="2"/>
  <c r="H2" i="2" s="1"/>
  <c r="G3" i="2"/>
  <c r="H3" i="2" s="1"/>
  <c r="G4" i="2"/>
  <c r="H4" i="2" s="1"/>
  <c r="AJ106" i="2" a="1"/>
  <c r="AJ106" i="2" s="1"/>
  <c r="AJ107" i="2" a="1"/>
  <c r="AJ107" i="2" s="1"/>
  <c r="AJ108" i="2" a="1"/>
  <c r="AJ108" i="2" s="1"/>
  <c r="AJ2" i="2" a="1"/>
  <c r="AJ2" i="2" s="1"/>
  <c r="AJ3" i="2" a="1"/>
  <c r="AJ3" i="2" s="1"/>
  <c r="AJ4" i="2" a="1"/>
  <c r="AJ4" i="2" s="1"/>
  <c r="AJ6" i="2" a="1"/>
  <c r="AJ6" i="2" s="1"/>
  <c r="AJ7" i="2" a="1"/>
  <c r="AJ7" i="2" s="1"/>
  <c r="AJ8" i="2" a="1"/>
  <c r="AJ8" i="2" s="1"/>
  <c r="AJ9" i="2" a="1"/>
  <c r="AJ9" i="2" s="1"/>
  <c r="AJ10" i="2" a="1"/>
  <c r="AJ10" i="2" s="1"/>
  <c r="AJ11" i="2" a="1"/>
  <c r="AJ11" i="2" s="1"/>
  <c r="AJ12" i="2" a="1"/>
  <c r="AJ12" i="2" s="1"/>
  <c r="AJ13" i="2" a="1"/>
  <c r="AJ13" i="2" s="1"/>
  <c r="AJ14" i="2" a="1"/>
  <c r="AJ14" i="2" s="1"/>
  <c r="AJ15" i="2" a="1"/>
  <c r="AJ15" i="2" s="1"/>
  <c r="AJ16" i="2" a="1"/>
  <c r="AJ16" i="2" s="1"/>
  <c r="AJ17" i="2" a="1"/>
  <c r="AJ17" i="2" s="1"/>
  <c r="AJ18" i="2" a="1"/>
  <c r="AJ18" i="2" s="1"/>
  <c r="G106" i="2"/>
  <c r="H106" i="2" s="1"/>
  <c r="G107" i="2"/>
  <c r="H107" i="2" s="1"/>
  <c r="G108" i="2"/>
  <c r="H108" i="2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<sst xmlns="http://schemas.openxmlformats.org/spreadsheetml/2006/main" count="766" uniqueCount="164">
  <si>
    <t>Miasto</t>
  </si>
  <si>
    <t>Nr lokalu</t>
  </si>
  <si>
    <t>BYDGOSZCZ</t>
  </si>
  <si>
    <t>POZNAŃ</t>
  </si>
  <si>
    <t>RZESZÓW</t>
  </si>
  <si>
    <t>ŚWINOUJŚCIE</t>
  </si>
  <si>
    <t>B76</t>
  </si>
  <si>
    <t>WROCŁAW</t>
  </si>
  <si>
    <t>WARSZAWA</t>
  </si>
  <si>
    <t>MODLIN</t>
  </si>
  <si>
    <t>RADOM</t>
  </si>
  <si>
    <t>ZIELONA GÓRA</t>
  </si>
  <si>
    <t>Rodzaj przeglądu</t>
  </si>
  <si>
    <t>Data wykonania</t>
  </si>
  <si>
    <t>Ważny przez (mies.)</t>
  </si>
  <si>
    <t>Data następnego przeglądu</t>
  </si>
  <si>
    <t>Status</t>
  </si>
  <si>
    <t xml:space="preserve">KATOWICE   </t>
  </si>
  <si>
    <t>Lista miast</t>
  </si>
  <si>
    <t>Data dodania protokołu</t>
  </si>
  <si>
    <t>Czy protokół dodany</t>
  </si>
  <si>
    <t>Uwagi</t>
  </si>
  <si>
    <t>Klimatyzacja</t>
  </si>
  <si>
    <t>Wentylacja</t>
  </si>
  <si>
    <t xml:space="preserve">Termin ważności </t>
  </si>
  <si>
    <t>WARSZAWA ZACHODNIA</t>
  </si>
  <si>
    <t xml:space="preserve">KRAKÓW </t>
  </si>
  <si>
    <t>B75 (Multistore)</t>
  </si>
  <si>
    <t>B38 (Ministore)</t>
  </si>
  <si>
    <t>B52 (Multistore)</t>
  </si>
  <si>
    <t>B53 (Glamour)</t>
  </si>
  <si>
    <t>BA1 (Beauty Shop)</t>
  </si>
  <si>
    <t>BA2 (Multistore)</t>
  </si>
  <si>
    <t>B39 (Multistore)</t>
  </si>
  <si>
    <t>B17 (Ministore)</t>
  </si>
  <si>
    <t>B15 (ZOOM)</t>
  </si>
  <si>
    <t>B34 (Multistore)</t>
  </si>
  <si>
    <t>B33 (Ministore)</t>
  </si>
  <si>
    <t>B03 (Multistore)</t>
  </si>
  <si>
    <t>B05 (ZOOM)</t>
  </si>
  <si>
    <t>B06 (Beauty)</t>
  </si>
  <si>
    <t>B07 (Wyspa)</t>
  </si>
  <si>
    <t>B08 (Crew Shop)</t>
  </si>
  <si>
    <t>170 (Glamour)</t>
  </si>
  <si>
    <t>171 (Starter Dworzec)</t>
  </si>
  <si>
    <t>172 (Starter Przyloty)</t>
  </si>
  <si>
    <t>178 (Multistore)</t>
  </si>
  <si>
    <t>179 (ZOOM)</t>
  </si>
  <si>
    <t>181 (Bestseller)</t>
  </si>
  <si>
    <t>BA5 (Starter)</t>
  </si>
  <si>
    <t>212 (Cavarious)</t>
  </si>
  <si>
    <t>211 (Travel Chef)</t>
  </si>
  <si>
    <t>213 (Cavarious NS)</t>
  </si>
  <si>
    <t>BR1 (Multistore)</t>
  </si>
  <si>
    <t>BR2 (ZOOM)</t>
  </si>
  <si>
    <t>BR3 (Ministore)</t>
  </si>
  <si>
    <t>BR4 (Starter)</t>
  </si>
  <si>
    <t>BZ1 (Starter)</t>
  </si>
  <si>
    <t>BZ7 (Ministore)</t>
  </si>
  <si>
    <t>BK3 (Ministore)</t>
  </si>
  <si>
    <t>BK4 (Ministore NS)</t>
  </si>
  <si>
    <t>BK2 (Multistore)</t>
  </si>
  <si>
    <t>231 (Subway)</t>
  </si>
  <si>
    <t>230 (Cavarious)</t>
  </si>
  <si>
    <t>183 (LMDL)</t>
  </si>
  <si>
    <t>173 (LMDL2)</t>
  </si>
  <si>
    <t>174 (Zoom NS)</t>
  </si>
  <si>
    <t>175 (Ministore NS)</t>
  </si>
  <si>
    <t>176 (Zoom odloty)</t>
  </si>
  <si>
    <t>177 (Spirit of Poland)</t>
  </si>
  <si>
    <t>180 (Starter odloty)</t>
  </si>
  <si>
    <t>182 (Zoom palarnia)</t>
  </si>
  <si>
    <t>187 (Zoom NS)</t>
  </si>
  <si>
    <t>Regałów magazynowych</t>
  </si>
  <si>
    <t>CRO</t>
  </si>
  <si>
    <t>Vendingi</t>
  </si>
  <si>
    <t>Wymiana filtrów</t>
  </si>
  <si>
    <t xml:space="preserve">Rolety </t>
  </si>
  <si>
    <t>Grupa przeglądu</t>
  </si>
  <si>
    <t>Drzwi przeciwpożarowe</t>
  </si>
  <si>
    <t>Oświetlenie</t>
  </si>
  <si>
    <t>Klamki na kod</t>
  </si>
  <si>
    <t>Floorboxy</t>
  </si>
  <si>
    <t>Drzwi na zaplecze</t>
  </si>
  <si>
    <t>BHP (drabiny, schodki, podesty)</t>
  </si>
  <si>
    <t>Elektryczny (roczny)</t>
  </si>
  <si>
    <t>Elektryczny (5-cio letni)</t>
  </si>
  <si>
    <t>Bramki antykradzieżowe</t>
  </si>
  <si>
    <t>Żaluzje (gastro)</t>
  </si>
  <si>
    <t>Systemy multmedialne</t>
  </si>
  <si>
    <t>Posadzki, wykładziny</t>
  </si>
  <si>
    <t>Kontrola kurzu</t>
  </si>
  <si>
    <t>Light boxy</t>
  </si>
  <si>
    <t>Główny</t>
  </si>
  <si>
    <t>Poboczny</t>
  </si>
  <si>
    <t>UDT (wózki widłowe, paleciaki)</t>
  </si>
  <si>
    <t>Gaśnice</t>
  </si>
  <si>
    <t>Separatory tłuszczu</t>
  </si>
  <si>
    <t>Meble</t>
  </si>
  <si>
    <t>Systemy PPOŻ</t>
  </si>
  <si>
    <t>Mroźnia/Chłodnia</t>
  </si>
  <si>
    <t>Szyby</t>
  </si>
  <si>
    <t>Hydranty</t>
  </si>
  <si>
    <t>Okap/Ansul</t>
  </si>
  <si>
    <t>travel chef/ cavarious/ notam/poznań/katowice/radom x2 - travel chef i cavarious, treminal A katowice - centralna nawiewowa</t>
  </si>
  <si>
    <t>Alarmy</t>
  </si>
  <si>
    <t>katowice magazyn - zew. Na płycie lotniska</t>
  </si>
  <si>
    <t>Samochody</t>
  </si>
  <si>
    <t>Windy w samochodach</t>
  </si>
  <si>
    <t>Lampy owadobójcze</t>
  </si>
  <si>
    <t>532 (Magazyn)</t>
  </si>
  <si>
    <t>B09 (Magazyn)</t>
  </si>
  <si>
    <t>Brama garażowa</t>
  </si>
  <si>
    <t>BK1 (Magazyn)</t>
  </si>
  <si>
    <t>288 (Dworzec PKP)</t>
  </si>
  <si>
    <t>296 (NS Express)</t>
  </si>
  <si>
    <t>295 (Corner)</t>
  </si>
  <si>
    <t>285 (Lounge)</t>
  </si>
  <si>
    <t>298 (Travel Chef)</t>
  </si>
  <si>
    <t>290 (Corner)</t>
  </si>
  <si>
    <t>B10 (Magazyn)</t>
  </si>
  <si>
    <t>B04 (Spirit)</t>
  </si>
  <si>
    <t>RODZAJ</t>
  </si>
  <si>
    <t>Drabiny metalowe</t>
  </si>
  <si>
    <t>ILOŚĆ SZCZEBLI</t>
  </si>
  <si>
    <t>42cm</t>
  </si>
  <si>
    <t>MPK (LOKAL)</t>
  </si>
  <si>
    <t>532 Magazyn WAW</t>
  </si>
  <si>
    <t>Drabiny plastikowe</t>
  </si>
  <si>
    <t xml:space="preserve">Schodki </t>
  </si>
  <si>
    <t xml:space="preserve">288 (PKP Kraków) </t>
  </si>
  <si>
    <t>Drabina metalowa</t>
  </si>
  <si>
    <t>170 WAW</t>
  </si>
  <si>
    <t>181 WAW</t>
  </si>
  <si>
    <t>Schodki plastikowe</t>
  </si>
  <si>
    <t xml:space="preserve"> 174 WAW</t>
  </si>
  <si>
    <t>177 WAW</t>
  </si>
  <si>
    <t>182 WAW</t>
  </si>
  <si>
    <t>171,172,180</t>
  </si>
  <si>
    <t>Schodki metalowe</t>
  </si>
  <si>
    <t>183 WAW</t>
  </si>
  <si>
    <t>ILOŚĆ (szt.)</t>
  </si>
  <si>
    <t>B75/B38 Bygdoszcz</t>
  </si>
  <si>
    <t>Podsest plastikowy</t>
  </si>
  <si>
    <t>214 (Bistro)</t>
  </si>
  <si>
    <t>SONATA</t>
  </si>
  <si>
    <t>210 (NOTAM)</t>
  </si>
  <si>
    <t>B51 (Magazyn)</t>
  </si>
  <si>
    <t>Wszystkie lokale</t>
  </si>
  <si>
    <t>AMC 12, Nr seryjny - N21062048096</t>
  </si>
  <si>
    <t>Nr seryjny - N9712003189</t>
  </si>
  <si>
    <t>Nr seryjny - N9712003188</t>
  </si>
  <si>
    <t>Samochód - WW392GU</t>
  </si>
  <si>
    <t>Samochód - WW390GU</t>
  </si>
  <si>
    <t>Samochód - WW391GU</t>
  </si>
  <si>
    <t>284 (Cavarious)</t>
  </si>
  <si>
    <t>Ansul</t>
  </si>
  <si>
    <t>Okap</t>
  </si>
  <si>
    <t>299 (Cavarious)</t>
  </si>
  <si>
    <t>261 (Cavarious)</t>
  </si>
  <si>
    <t>Regały chłodnicze</t>
  </si>
  <si>
    <t>208 (PIZZA)</t>
  </si>
  <si>
    <t>Mycie jednostek klimatyzacji</t>
  </si>
  <si>
    <t>Sprawdzenie pompy odpływowej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</si>
</sst>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sz val="10"/>
      <color theme="1"/>
      <name val="Calibri"/>
      <family val="2"/>
      <charset val="238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2" tint="-0.499984740745262"/>
      </right>
      <top style="medium">
        <color theme="0" tint="-0.14999847407452621"/>
      </top>
      <bottom style="medium">
        <color theme="2" tint="-0.499984740745262"/>
      </bottom>
      <diagonal/>
    </border>
    <border>
      <left style="medium">
        <color theme="0" tint="-0.14999847407452621"/>
      </left>
      <right/>
      <top style="medium">
        <color theme="2" tint="-0.499984740745262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499984740745262"/>
      </left>
      <right style="medium">
        <color theme="0" tint="-0.14999847407452621"/>
      </right>
      <top style="medium">
        <color theme="2" tint="-0.499984740745262"/>
      </top>
      <bottom/>
      <diagonal/>
    </border>
    <border>
      <left style="medium">
        <color theme="0" tint="-0.14999847407452621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medium">
        <color theme="2" tint="-0.499984740745262"/>
      </right>
      <top style="medium">
        <color theme="0" tint="-0.14999847407452621"/>
      </top>
      <bottom/>
      <diagonal/>
    </border>
    <border>
      <left style="medium">
        <color theme="2" tint="-0.499984740745262"/>
      </left>
      <right style="medium">
        <color theme="0" tint="-0.14999847407452621"/>
      </right>
      <top/>
      <bottom style="medium">
        <color theme="2" tint="-0.499984740745262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0" tint="-0.14999847407452621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0" tint="-0.14999847407452621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0" tint="-0.14999847407452621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499984740745262"/>
      </left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</cellXfs>
  <cellStyles count="1">
    <cellStyle name="Normalny" xfId="0" builtinId="0"/>
  </cellStyles>
  <dxfs count="31">
    <dxf>
      <font>
        <b/>
        <color rgb="FF375623"/>
      </font>
      <fill>
        <patternFill patternType="solid">
          <bgColor rgb="FFE2F0D9"/>
        </patternFill>
      </fill>
    </dxf>
    <dxf>
      <fill>
        <patternFill>
          <bgColor rgb="FFFF4B4B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center" textRotation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dd\.mm\.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4B4B"/>
      <color rgb="FFE3212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8B594-C060-4FD0-8B36-8E77D5C01897}" name="TabelaLokale" displayName="TabelaLokale" ref="B2:C88" totalsRowShown="0" headerRowDxfId="17" dataDxfId="15" headerRowBorderDxfId="16" tableBorderDxfId="14">
  <autoFilter ref="B2:C88" xr:uid="{13E8B594-C060-4FD0-8B36-8E77D5C01897}"/>
  <tableColumns count="2">
    <tableColumn id="1" xr3:uid="{0AD5D428-7FB7-43B9-9C81-C31512F1B839}" name="Miasto" dataDxfId="13"/>
    <tableColumn id="2" xr3:uid="{A07A2346-FCC4-4F39-BEE4-CF2AFA1779A8}" name="Nr lokalu" dataDxfId="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1ABCC0-950B-474D-AA44-E0D42E0F55E2}" name="Tabela3" displayName="Tabela3" ref="A1:A9" totalsRowShown="0" headerRowDxfId="11" dataDxfId="10">
  <autoFilter ref="A1:A9" xr:uid="{811ABCC0-950B-474D-AA44-E0D42E0F55E2}"/>
  <tableColumns count="1">
    <tableColumn id="1" xr3:uid="{6E838C9F-C32D-453F-99B6-AB63EDAD9D19}" name="Termin ważności 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85E205-3BDB-448A-BA38-F9D726406323}" name="TabelaRodzaje" displayName="TabelaRodzaje" ref="C1:D67" totalsRowShown="0" headerRowDxfId="8" dataDxfId="7">
  <autoFilter ref="C1:D67" xr:uid="{6185E205-3BDB-448A-BA38-F9D726406323}"/>
  <tableColumns count="2">
    <tableColumn id="1" xr3:uid="{921A1A4C-4915-40B6-A725-1323D335CDA0}" name="Grupa przeglądu" dataDxfId="6"/>
    <tableColumn id="2" xr3:uid="{351CF17F-2F4B-496B-854C-D63C70E5E98F}" name="Rodzaj przeglądu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E7DDF1-16FE-485F-9515-D91E9403CD5C}" name="Tabela4" displayName="Tabela4" ref="A1:K132" totalsRowShown="0" headerRowDxfId="30" dataDxfId="29">
  <autoFilter ref="A1:K132" xr:uid="{F0E7DDF1-16FE-485F-9515-D91E9403CD5C}"/>
  <tableColumns count="11">
    <tableColumn id="1" xr3:uid="{FCBAAE90-A444-41CB-8EC3-BC3BEE5BC3A8}" name="Miasto" dataDxfId="28"/>
    <tableColumn id="2" xr3:uid="{318D21E0-C06C-4580-8796-230E96E31BA0}" name="Nr lokalu" dataDxfId="27"/>
    <tableColumn id="13" xr3:uid="{6D43289F-3163-4D75-BC77-FB53B968D112}" name="Grupa przeglądu" dataDxfId="26"/>
    <tableColumn id="3" xr3:uid="{C4F13B56-AE19-476B-8DC4-84D140186622}" name="Rodzaj przeglądu" dataDxfId="25"/>
    <tableColumn id="4" xr3:uid="{A5ED9207-1480-4603-AEA7-1255A43A2B4F}" name="Data wykonania" dataDxfId="24"/>
    <tableColumn id="5" xr3:uid="{638925FD-5196-441D-A57B-65D92F050067}" name="Ważny przez (mies.)" dataDxfId="23"/>
    <tableColumn id="6" xr3:uid="{4EAA4810-B6DA-4F60-9561-0A5034ADE450}" name="Data następnego przeglądu" dataDxfId="22">
      <calculatedColumnFormula>IF(OR(E2="",F2=""),"",DATE(YEAR(E2),MONTH(E2)+F2,DAY(E2)))</calculatedColumnFormula>
    </tableColumn>
    <tableColumn id="7" xr3:uid="{27D23A17-D604-46EF-9B9D-167B4463124D}" name="Status" dataDxfId="21">
      <calculatedColumnFormula>IF(G2="","",IF(G2&lt;TODAY(),"PO TERMINIE",IF(G2&lt;=TODAY()+14,"DO WYKONANIA","OK")))</calculatedColumnFormula>
    </tableColumn>
    <tableColumn id="9" xr3:uid="{72D6A5E0-750D-4526-AED7-608D0419005A}" name="Data dodania protokołu" dataDxfId="20"/>
    <tableColumn id="10" xr3:uid="{6CAA37AE-71A1-4ADA-9E4C-BEFDA35BDAE9}" name="Czy protokół dodany" dataDxfId="19">
      <calculatedColumnFormula>IF(COUNTA(A2:F151)=0,"",IF(#REF!="","BRAK PROTOKOŁU","DODANY"))</calculatedColumnFormula>
    </tableColumn>
    <tableColumn id="11" xr3:uid="{4BC94C0B-E9D2-4784-A7F3-C558E0C2A690}" name="Uwagi" dataDxfId="1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B84B-B5E2-4E26-8C77-8920A1B18DAD}">
  <dimension ref="B1:E88"/>
  <sheetViews>
    <sheetView tabSelected="1" zoomScale="85" workbookViewId="0">
      <selection activeCell="A15" sqref="A15:XFD15"/>
    </sheetView>
  </sheetViews>
  <sheetFormatPr defaultRowHeight="14.5" x14ac:dyDescent="0.35"/>
  <cols>
    <col min="2" max="2" width="28.6328125" style="2" customWidth="1"/>
    <col min="3" max="3" width="25.08984375" customWidth="1"/>
    <col min="5" max="5" width="10.90625" style="2" customWidth="1"/>
  </cols>
  <sheetData>
    <row r="1" spans="2:3" ht="15" thickBot="1" x14ac:dyDescent="0.4"/>
    <row r="2" spans="2:3" x14ac:dyDescent="0.35">
      <c r="B2" s="7" t="s">
        <v>0</v>
      </c>
      <c r="C2" s="8" t="s">
        <v>1</v>
      </c>
    </row>
    <row r="3" spans="2:3" x14ac:dyDescent="0.35">
      <c r="B3" s="9" t="s">
        <v>2</v>
      </c>
      <c r="C3" s="6" t="s">
        <v>27</v>
      </c>
    </row>
    <row r="4" spans="2:3" x14ac:dyDescent="0.35">
      <c r="B4" s="9" t="s">
        <v>2</v>
      </c>
      <c r="C4" s="6" t="s">
        <v>28</v>
      </c>
    </row>
    <row r="5" spans="2:3" x14ac:dyDescent="0.35">
      <c r="B5" s="9" t="s">
        <v>17</v>
      </c>
      <c r="C5" s="6" t="s">
        <v>29</v>
      </c>
    </row>
    <row r="6" spans="2:3" x14ac:dyDescent="0.35">
      <c r="B6" s="9" t="s">
        <v>17</v>
      </c>
      <c r="C6" s="10" t="s">
        <v>30</v>
      </c>
    </row>
    <row r="7" spans="2:3" x14ac:dyDescent="0.35">
      <c r="B7" s="9" t="s">
        <v>17</v>
      </c>
      <c r="C7" s="5" t="s">
        <v>31</v>
      </c>
    </row>
    <row r="8" spans="2:3" x14ac:dyDescent="0.35">
      <c r="B8" s="9" t="s">
        <v>17</v>
      </c>
      <c r="C8" s="5" t="s">
        <v>32</v>
      </c>
    </row>
    <row r="9" spans="2:3" x14ac:dyDescent="0.35">
      <c r="B9" s="9" t="s">
        <v>17</v>
      </c>
      <c r="C9" s="5" t="s">
        <v>147</v>
      </c>
    </row>
    <row r="10" spans="2:3" x14ac:dyDescent="0.35">
      <c r="B10" s="9" t="s">
        <v>17</v>
      </c>
      <c r="C10" s="5" t="s">
        <v>155</v>
      </c>
    </row>
    <row r="11" spans="2:3" x14ac:dyDescent="0.35">
      <c r="B11" s="42" t="s">
        <v>3</v>
      </c>
      <c r="C11" s="5" t="s">
        <v>33</v>
      </c>
    </row>
    <row r="12" spans="2:3" x14ac:dyDescent="0.35">
      <c r="B12" s="41" t="s">
        <v>3</v>
      </c>
      <c r="C12" s="5" t="s">
        <v>34</v>
      </c>
    </row>
    <row r="13" spans="2:3" x14ac:dyDescent="0.35">
      <c r="B13" s="42" t="s">
        <v>3</v>
      </c>
      <c r="C13" s="5" t="s">
        <v>35</v>
      </c>
    </row>
    <row r="14" spans="2:3" x14ac:dyDescent="0.35">
      <c r="B14" s="9" t="s">
        <v>3</v>
      </c>
      <c r="C14" s="6" t="s">
        <v>118</v>
      </c>
    </row>
    <row r="15" spans="2:3" x14ac:dyDescent="0.35">
      <c r="B15" s="9" t="s">
        <v>3</v>
      </c>
      <c r="C15" s="6" t="s">
        <v>158</v>
      </c>
    </row>
    <row r="16" spans="2:3" x14ac:dyDescent="0.35">
      <c r="B16" s="9" t="s">
        <v>3</v>
      </c>
      <c r="C16" s="6" t="s">
        <v>119</v>
      </c>
    </row>
    <row r="17" spans="2:3" x14ac:dyDescent="0.35">
      <c r="B17" s="9" t="s">
        <v>3</v>
      </c>
      <c r="C17" s="6" t="s">
        <v>120</v>
      </c>
    </row>
    <row r="18" spans="2:3" x14ac:dyDescent="0.35">
      <c r="B18" s="9" t="s">
        <v>4</v>
      </c>
      <c r="C18" s="6" t="s">
        <v>36</v>
      </c>
    </row>
    <row r="19" spans="2:3" x14ac:dyDescent="0.35">
      <c r="B19" s="9" t="s">
        <v>4</v>
      </c>
      <c r="C19" s="6" t="s">
        <v>37</v>
      </c>
    </row>
    <row r="20" spans="2:3" x14ac:dyDescent="0.35">
      <c r="B20" s="9" t="s">
        <v>4</v>
      </c>
      <c r="C20" s="6" t="s">
        <v>115</v>
      </c>
    </row>
    <row r="21" spans="2:3" x14ac:dyDescent="0.35">
      <c r="B21" s="9" t="s">
        <v>4</v>
      </c>
      <c r="C21" s="6" t="s">
        <v>116</v>
      </c>
    </row>
    <row r="22" spans="2:3" x14ac:dyDescent="0.35">
      <c r="B22" s="9" t="s">
        <v>4</v>
      </c>
      <c r="C22" s="6" t="s">
        <v>117</v>
      </c>
    </row>
    <row r="23" spans="2:3" x14ac:dyDescent="0.35">
      <c r="B23" s="9" t="s">
        <v>7</v>
      </c>
      <c r="C23" s="6" t="s">
        <v>38</v>
      </c>
    </row>
    <row r="24" spans="2:3" x14ac:dyDescent="0.35">
      <c r="B24" s="9" t="s">
        <v>7</v>
      </c>
      <c r="C24" s="5" t="s">
        <v>39</v>
      </c>
    </row>
    <row r="25" spans="2:3" x14ac:dyDescent="0.35">
      <c r="B25" s="9" t="s">
        <v>7</v>
      </c>
      <c r="C25" s="5" t="s">
        <v>40</v>
      </c>
    </row>
    <row r="26" spans="2:3" x14ac:dyDescent="0.35">
      <c r="B26" s="9" t="s">
        <v>7</v>
      </c>
      <c r="C26" s="5" t="s">
        <v>41</v>
      </c>
    </row>
    <row r="27" spans="2:3" x14ac:dyDescent="0.35">
      <c r="B27" s="9" t="s">
        <v>7</v>
      </c>
      <c r="C27" s="5" t="s">
        <v>42</v>
      </c>
    </row>
    <row r="28" spans="2:3" x14ac:dyDescent="0.35">
      <c r="B28" s="9" t="s">
        <v>7</v>
      </c>
      <c r="C28" s="6" t="s">
        <v>121</v>
      </c>
    </row>
    <row r="29" spans="2:3" x14ac:dyDescent="0.35">
      <c r="B29" s="9" t="s">
        <v>7</v>
      </c>
      <c r="C29" s="6" t="s">
        <v>111</v>
      </c>
    </row>
    <row r="30" spans="2:3" x14ac:dyDescent="0.35">
      <c r="B30" s="9" t="s">
        <v>8</v>
      </c>
      <c r="C30" s="6" t="s">
        <v>43</v>
      </c>
    </row>
    <row r="31" spans="2:3" x14ac:dyDescent="0.35">
      <c r="B31" s="9" t="s">
        <v>8</v>
      </c>
      <c r="C31" s="5" t="s">
        <v>44</v>
      </c>
    </row>
    <row r="32" spans="2:3" x14ac:dyDescent="0.35">
      <c r="B32" s="9" t="s">
        <v>8</v>
      </c>
      <c r="C32" s="5" t="s">
        <v>45</v>
      </c>
    </row>
    <row r="33" spans="2:3" x14ac:dyDescent="0.35">
      <c r="B33" s="9" t="s">
        <v>8</v>
      </c>
      <c r="C33" s="5" t="s">
        <v>65</v>
      </c>
    </row>
    <row r="34" spans="2:3" x14ac:dyDescent="0.35">
      <c r="B34" s="9" t="s">
        <v>8</v>
      </c>
      <c r="C34" s="5" t="s">
        <v>66</v>
      </c>
    </row>
    <row r="35" spans="2:3" x14ac:dyDescent="0.35">
      <c r="B35" s="9" t="s">
        <v>8</v>
      </c>
      <c r="C35" s="6" t="s">
        <v>67</v>
      </c>
    </row>
    <row r="36" spans="2:3" x14ac:dyDescent="0.35">
      <c r="B36" s="9" t="s">
        <v>8</v>
      </c>
      <c r="C36" s="5" t="s">
        <v>68</v>
      </c>
    </row>
    <row r="37" spans="2:3" x14ac:dyDescent="0.35">
      <c r="B37" s="9" t="s">
        <v>8</v>
      </c>
      <c r="C37" s="5" t="s">
        <v>69</v>
      </c>
    </row>
    <row r="38" spans="2:3" x14ac:dyDescent="0.35">
      <c r="B38" s="9" t="s">
        <v>8</v>
      </c>
      <c r="C38" s="5" t="s">
        <v>46</v>
      </c>
    </row>
    <row r="39" spans="2:3" x14ac:dyDescent="0.35">
      <c r="B39" s="9" t="s">
        <v>8</v>
      </c>
      <c r="C39" s="5" t="s">
        <v>47</v>
      </c>
    </row>
    <row r="40" spans="2:3" x14ac:dyDescent="0.35">
      <c r="B40" s="9" t="s">
        <v>8</v>
      </c>
      <c r="C40" s="5" t="s">
        <v>70</v>
      </c>
    </row>
    <row r="41" spans="2:3" x14ac:dyDescent="0.35">
      <c r="B41" s="9" t="s">
        <v>8</v>
      </c>
      <c r="C41" s="6" t="s">
        <v>48</v>
      </c>
    </row>
    <row r="42" spans="2:3" x14ac:dyDescent="0.35">
      <c r="B42" s="9" t="s">
        <v>8</v>
      </c>
      <c r="C42" s="5" t="s">
        <v>71</v>
      </c>
    </row>
    <row r="43" spans="2:3" x14ac:dyDescent="0.35">
      <c r="B43" s="9" t="s">
        <v>8</v>
      </c>
      <c r="C43" s="6" t="s">
        <v>64</v>
      </c>
    </row>
    <row r="44" spans="2:3" x14ac:dyDescent="0.35">
      <c r="B44" s="9" t="s">
        <v>8</v>
      </c>
      <c r="C44" s="6" t="s">
        <v>72</v>
      </c>
    </row>
    <row r="45" spans="2:3" x14ac:dyDescent="0.35">
      <c r="B45" s="9" t="s">
        <v>8</v>
      </c>
      <c r="C45" s="6" t="s">
        <v>161</v>
      </c>
    </row>
    <row r="46" spans="2:3" x14ac:dyDescent="0.35">
      <c r="B46" s="9" t="s">
        <v>8</v>
      </c>
      <c r="C46" s="6" t="s">
        <v>110</v>
      </c>
    </row>
    <row r="47" spans="2:3" x14ac:dyDescent="0.35">
      <c r="B47" s="9" t="s">
        <v>145</v>
      </c>
      <c r="C47" s="6" t="s">
        <v>146</v>
      </c>
    </row>
    <row r="48" spans="2:3" x14ac:dyDescent="0.35">
      <c r="B48" s="11" t="s">
        <v>25</v>
      </c>
      <c r="C48" s="6" t="s">
        <v>62</v>
      </c>
    </row>
    <row r="49" spans="2:3" x14ac:dyDescent="0.35">
      <c r="B49" s="11" t="s">
        <v>25</v>
      </c>
      <c r="C49" s="6" t="s">
        <v>63</v>
      </c>
    </row>
    <row r="50" spans="2:3" x14ac:dyDescent="0.35">
      <c r="B50" s="9" t="s">
        <v>9</v>
      </c>
      <c r="C50" s="6" t="s">
        <v>49</v>
      </c>
    </row>
    <row r="51" spans="2:3" x14ac:dyDescent="0.35">
      <c r="B51" s="9" t="s">
        <v>10</v>
      </c>
      <c r="C51" s="6" t="s">
        <v>50</v>
      </c>
    </row>
    <row r="52" spans="2:3" ht="17.5" customHeight="1" x14ac:dyDescent="0.35">
      <c r="B52" s="9" t="s">
        <v>10</v>
      </c>
      <c r="C52" s="6" t="s">
        <v>51</v>
      </c>
    </row>
    <row r="53" spans="2:3" x14ac:dyDescent="0.35">
      <c r="B53" s="9" t="s">
        <v>10</v>
      </c>
      <c r="C53" s="6" t="s">
        <v>52</v>
      </c>
    </row>
    <row r="54" spans="2:3" x14ac:dyDescent="0.35">
      <c r="B54" s="9" t="s">
        <v>10</v>
      </c>
      <c r="C54" s="6" t="s">
        <v>53</v>
      </c>
    </row>
    <row r="55" spans="2:3" x14ac:dyDescent="0.35">
      <c r="B55" s="9" t="s">
        <v>10</v>
      </c>
      <c r="C55" s="6" t="s">
        <v>54</v>
      </c>
    </row>
    <row r="56" spans="2:3" x14ac:dyDescent="0.35">
      <c r="B56" s="9" t="s">
        <v>10</v>
      </c>
      <c r="C56" s="6" t="s">
        <v>55</v>
      </c>
    </row>
    <row r="57" spans="2:3" x14ac:dyDescent="0.35">
      <c r="B57" s="9" t="s">
        <v>10</v>
      </c>
      <c r="C57" s="6" t="s">
        <v>144</v>
      </c>
    </row>
    <row r="58" spans="2:3" x14ac:dyDescent="0.35">
      <c r="B58" s="9" t="s">
        <v>10</v>
      </c>
      <c r="C58" s="6" t="s">
        <v>56</v>
      </c>
    </row>
    <row r="59" spans="2:3" x14ac:dyDescent="0.35">
      <c r="B59" s="9" t="s">
        <v>26</v>
      </c>
      <c r="C59" s="6" t="s">
        <v>59</v>
      </c>
    </row>
    <row r="60" spans="2:3" x14ac:dyDescent="0.35">
      <c r="B60" s="9" t="s">
        <v>26</v>
      </c>
      <c r="C60" s="6" t="s">
        <v>60</v>
      </c>
    </row>
    <row r="61" spans="2:3" x14ac:dyDescent="0.35">
      <c r="B61" s="9" t="s">
        <v>26</v>
      </c>
      <c r="C61" s="6" t="s">
        <v>61</v>
      </c>
    </row>
    <row r="62" spans="2:3" x14ac:dyDescent="0.35">
      <c r="B62" s="9" t="s">
        <v>26</v>
      </c>
      <c r="C62" s="6" t="s">
        <v>113</v>
      </c>
    </row>
    <row r="63" spans="2:3" x14ac:dyDescent="0.35">
      <c r="B63" s="9" t="s">
        <v>26</v>
      </c>
      <c r="C63" s="6" t="s">
        <v>114</v>
      </c>
    </row>
    <row r="64" spans="2:3" x14ac:dyDescent="0.35">
      <c r="B64" s="9" t="s">
        <v>5</v>
      </c>
      <c r="C64" s="6" t="s">
        <v>6</v>
      </c>
    </row>
    <row r="65" spans="2:3" x14ac:dyDescent="0.35">
      <c r="B65" s="9" t="s">
        <v>11</v>
      </c>
      <c r="C65" s="6" t="s">
        <v>57</v>
      </c>
    </row>
    <row r="66" spans="2:3" x14ac:dyDescent="0.35">
      <c r="B66" s="9" t="s">
        <v>11</v>
      </c>
      <c r="C66" s="6" t="s">
        <v>58</v>
      </c>
    </row>
    <row r="67" spans="2:3" x14ac:dyDescent="0.35">
      <c r="B67" s="9" t="s">
        <v>17</v>
      </c>
      <c r="C67" s="44" t="s">
        <v>148</v>
      </c>
    </row>
    <row r="68" spans="2:3" x14ac:dyDescent="0.35">
      <c r="B68" s="9" t="s">
        <v>2</v>
      </c>
      <c r="C68" s="44" t="s">
        <v>148</v>
      </c>
    </row>
    <row r="69" spans="2:3" x14ac:dyDescent="0.35">
      <c r="B69" s="9" t="s">
        <v>3</v>
      </c>
      <c r="C69" s="44" t="s">
        <v>148</v>
      </c>
    </row>
    <row r="70" spans="2:3" x14ac:dyDescent="0.35">
      <c r="B70" s="9" t="s">
        <v>4</v>
      </c>
      <c r="C70" s="44" t="s">
        <v>148</v>
      </c>
    </row>
    <row r="71" spans="2:3" x14ac:dyDescent="0.35">
      <c r="B71" s="9" t="s">
        <v>7</v>
      </c>
      <c r="C71" s="44" t="s">
        <v>148</v>
      </c>
    </row>
    <row r="72" spans="2:3" x14ac:dyDescent="0.35">
      <c r="B72" s="9" t="s">
        <v>8</v>
      </c>
      <c r="C72" s="44" t="s">
        <v>148</v>
      </c>
    </row>
    <row r="73" spans="2:3" x14ac:dyDescent="0.35">
      <c r="B73" s="9" t="s">
        <v>10</v>
      </c>
      <c r="C73" s="44" t="s">
        <v>148</v>
      </c>
    </row>
    <row r="74" spans="2:3" x14ac:dyDescent="0.35">
      <c r="B74" s="9" t="s">
        <v>26</v>
      </c>
      <c r="C74" s="44" t="s">
        <v>148</v>
      </c>
    </row>
    <row r="75" spans="2:3" x14ac:dyDescent="0.35">
      <c r="B75" s="9"/>
      <c r="C75" s="44"/>
    </row>
    <row r="76" spans="2:3" x14ac:dyDescent="0.35">
      <c r="B76" s="9"/>
      <c r="C76" s="44"/>
    </row>
    <row r="77" spans="2:3" x14ac:dyDescent="0.35">
      <c r="B77" s="9"/>
      <c r="C77" s="44"/>
    </row>
    <row r="78" spans="2:3" x14ac:dyDescent="0.35">
      <c r="B78" s="9"/>
      <c r="C78" s="44"/>
    </row>
    <row r="79" spans="2:3" x14ac:dyDescent="0.35">
      <c r="B79" s="9"/>
      <c r="C79" s="44"/>
    </row>
    <row r="80" spans="2:3" x14ac:dyDescent="0.35">
      <c r="B80" s="9"/>
      <c r="C80" s="44"/>
    </row>
    <row r="81" spans="2:3" x14ac:dyDescent="0.35">
      <c r="B81" s="9"/>
      <c r="C81" s="44"/>
    </row>
    <row r="82" spans="2:3" x14ac:dyDescent="0.35">
      <c r="B82" s="9"/>
      <c r="C82" s="44"/>
    </row>
    <row r="83" spans="2:3" x14ac:dyDescent="0.35">
      <c r="B83" s="9"/>
      <c r="C83" s="44"/>
    </row>
    <row r="84" spans="2:3" x14ac:dyDescent="0.35">
      <c r="B84" s="9"/>
      <c r="C84" s="44"/>
    </row>
    <row r="85" spans="2:3" x14ac:dyDescent="0.35">
      <c r="B85" s="9"/>
      <c r="C85" s="44"/>
    </row>
    <row r="86" spans="2:3" x14ac:dyDescent="0.35">
      <c r="B86" s="9"/>
      <c r="C86" s="44"/>
    </row>
    <row r="87" spans="2:3" x14ac:dyDescent="0.35">
      <c r="B87" s="9"/>
      <c r="C87" s="44"/>
    </row>
    <row r="88" spans="2:3" x14ac:dyDescent="0.35">
      <c r="B88" s="43"/>
      <c r="C88" s="4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B4B7-3309-44B6-876B-B68A75EE19BF}">
  <dimension ref="A1:E67"/>
  <sheetViews>
    <sheetView zoomScale="92" workbookViewId="0">
      <selection activeCell="I29" sqref="I29"/>
    </sheetView>
  </sheetViews>
  <sheetFormatPr defaultRowHeight="14.5" x14ac:dyDescent="0.35"/>
  <cols>
    <col min="1" max="1" width="4.08984375" customWidth="1"/>
    <col min="2" max="2" width="4.7265625" customWidth="1"/>
    <col min="3" max="3" width="24" customWidth="1"/>
    <col min="4" max="4" width="36.36328125" customWidth="1"/>
  </cols>
  <sheetData>
    <row r="1" spans="1:4" x14ac:dyDescent="0.35">
      <c r="A1" s="2" t="s">
        <v>24</v>
      </c>
      <c r="C1" s="16" t="s">
        <v>78</v>
      </c>
      <c r="D1" s="16" t="s">
        <v>12</v>
      </c>
    </row>
    <row r="2" spans="1:4" x14ac:dyDescent="0.35">
      <c r="A2" s="2">
        <v>1</v>
      </c>
      <c r="C2" s="16" t="s">
        <v>93</v>
      </c>
      <c r="D2" s="16" t="s">
        <v>85</v>
      </c>
    </row>
    <row r="3" spans="1:4" x14ac:dyDescent="0.35">
      <c r="A3" s="2">
        <v>2</v>
      </c>
      <c r="C3" s="16" t="s">
        <v>93</v>
      </c>
      <c r="D3" s="16" t="s">
        <v>86</v>
      </c>
    </row>
    <row r="4" spans="1:4" x14ac:dyDescent="0.35">
      <c r="A4" s="2">
        <v>3</v>
      </c>
      <c r="C4" s="16" t="s">
        <v>93</v>
      </c>
      <c r="D4" s="16" t="s">
        <v>99</v>
      </c>
    </row>
    <row r="5" spans="1:4" x14ac:dyDescent="0.35">
      <c r="A5" s="2">
        <v>6</v>
      </c>
      <c r="C5" s="16" t="s">
        <v>93</v>
      </c>
      <c r="D5" s="16" t="s">
        <v>96</v>
      </c>
    </row>
    <row r="6" spans="1:4" x14ac:dyDescent="0.35">
      <c r="A6" s="2">
        <v>12</v>
      </c>
      <c r="C6" s="16" t="s">
        <v>93</v>
      </c>
      <c r="D6" s="16" t="s">
        <v>22</v>
      </c>
    </row>
    <row r="7" spans="1:4" x14ac:dyDescent="0.35">
      <c r="A7" s="2">
        <v>24</v>
      </c>
      <c r="C7" s="16" t="s">
        <v>93</v>
      </c>
      <c r="D7" t="s">
        <v>105</v>
      </c>
    </row>
    <row r="8" spans="1:4" x14ac:dyDescent="0.35">
      <c r="A8" s="2">
        <v>36</v>
      </c>
      <c r="C8" s="16" t="s">
        <v>93</v>
      </c>
      <c r="D8" t="s">
        <v>102</v>
      </c>
    </row>
    <row r="9" spans="1:4" x14ac:dyDescent="0.35">
      <c r="A9" s="2">
        <v>60</v>
      </c>
      <c r="C9" s="16" t="s">
        <v>93</v>
      </c>
      <c r="D9" t="s">
        <v>77</v>
      </c>
    </row>
    <row r="10" spans="1:4" x14ac:dyDescent="0.35">
      <c r="C10" s="16" t="s">
        <v>93</v>
      </c>
      <c r="D10" t="s">
        <v>23</v>
      </c>
    </row>
    <row r="11" spans="1:4" x14ac:dyDescent="0.35">
      <c r="C11" s="16" t="s">
        <v>93</v>
      </c>
      <c r="D11" t="s">
        <v>76</v>
      </c>
    </row>
    <row r="12" spans="1:4" x14ac:dyDescent="0.35">
      <c r="C12" s="16" t="s">
        <v>93</v>
      </c>
      <c r="D12" t="s">
        <v>73</v>
      </c>
    </row>
    <row r="13" spans="1:4" x14ac:dyDescent="0.35">
      <c r="C13" s="16" t="s">
        <v>93</v>
      </c>
      <c r="D13" t="s">
        <v>74</v>
      </c>
    </row>
    <row r="14" spans="1:4" x14ac:dyDescent="0.35">
      <c r="C14" s="16" t="s">
        <v>93</v>
      </c>
      <c r="D14" t="s">
        <v>100</v>
      </c>
    </row>
    <row r="15" spans="1:4" x14ac:dyDescent="0.35">
      <c r="C15" s="16" t="s">
        <v>93</v>
      </c>
      <c r="D15" t="s">
        <v>160</v>
      </c>
    </row>
    <row r="16" spans="1:4" x14ac:dyDescent="0.35">
      <c r="C16" s="16" t="s">
        <v>93</v>
      </c>
      <c r="D16" t="s">
        <v>97</v>
      </c>
    </row>
    <row r="17" spans="3:5" x14ac:dyDescent="0.35">
      <c r="C17" s="16" t="s">
        <v>93</v>
      </c>
      <c r="D17" t="s">
        <v>75</v>
      </c>
    </row>
    <row r="18" spans="3:5" x14ac:dyDescent="0.35">
      <c r="C18" s="16" t="s">
        <v>93</v>
      </c>
      <c r="D18" s="16" t="s">
        <v>95</v>
      </c>
    </row>
    <row r="19" spans="3:5" x14ac:dyDescent="0.35">
      <c r="C19" s="16" t="s">
        <v>93</v>
      </c>
      <c r="D19" t="s">
        <v>84</v>
      </c>
    </row>
    <row r="20" spans="3:5" x14ac:dyDescent="0.35">
      <c r="C20" s="16" t="s">
        <v>93</v>
      </c>
      <c r="D20" t="s">
        <v>156</v>
      </c>
      <c r="E20" t="s">
        <v>104</v>
      </c>
    </row>
    <row r="21" spans="3:5" x14ac:dyDescent="0.35">
      <c r="C21" s="16" t="s">
        <v>93</v>
      </c>
      <c r="D21" t="s">
        <v>157</v>
      </c>
    </row>
    <row r="22" spans="3:5" x14ac:dyDescent="0.35">
      <c r="C22" s="16" t="s">
        <v>93</v>
      </c>
      <c r="D22" t="s">
        <v>112</v>
      </c>
      <c r="E22" t="s">
        <v>106</v>
      </c>
    </row>
    <row r="23" spans="3:5" x14ac:dyDescent="0.35">
      <c r="C23" s="16" t="s">
        <v>93</v>
      </c>
      <c r="D23" t="s">
        <v>88</v>
      </c>
    </row>
    <row r="24" spans="3:5" x14ac:dyDescent="0.35">
      <c r="C24" s="16" t="s">
        <v>93</v>
      </c>
      <c r="D24" t="s">
        <v>87</v>
      </c>
    </row>
    <row r="25" spans="3:5" x14ac:dyDescent="0.35">
      <c r="C25" s="16" t="s">
        <v>94</v>
      </c>
      <c r="D25" s="16" t="s">
        <v>81</v>
      </c>
    </row>
    <row r="26" spans="3:5" x14ac:dyDescent="0.35">
      <c r="C26" s="16" t="s">
        <v>94</v>
      </c>
      <c r="D26" s="16" t="s">
        <v>80</v>
      </c>
    </row>
    <row r="27" spans="3:5" x14ac:dyDescent="0.35">
      <c r="C27" s="16" t="s">
        <v>94</v>
      </c>
      <c r="D27" t="s">
        <v>79</v>
      </c>
    </row>
    <row r="28" spans="3:5" x14ac:dyDescent="0.35">
      <c r="C28" s="16" t="s">
        <v>94</v>
      </c>
      <c r="D28" t="s">
        <v>83</v>
      </c>
    </row>
    <row r="29" spans="3:5" x14ac:dyDescent="0.35">
      <c r="C29" s="16" t="s">
        <v>94</v>
      </c>
      <c r="D29" t="s">
        <v>89</v>
      </c>
    </row>
    <row r="30" spans="3:5" x14ac:dyDescent="0.35">
      <c r="C30" s="16" t="s">
        <v>94</v>
      </c>
      <c r="D30" t="s">
        <v>90</v>
      </c>
    </row>
    <row r="31" spans="3:5" x14ac:dyDescent="0.35">
      <c r="C31" s="16" t="s">
        <v>94</v>
      </c>
      <c r="D31" t="s">
        <v>91</v>
      </c>
    </row>
    <row r="32" spans="3:5" x14ac:dyDescent="0.35">
      <c r="C32" s="16" t="s">
        <v>94</v>
      </c>
      <c r="D32" t="s">
        <v>92</v>
      </c>
    </row>
    <row r="33" spans="3:4" x14ac:dyDescent="0.35">
      <c r="C33" s="16" t="s">
        <v>94</v>
      </c>
      <c r="D33" s="16" t="s">
        <v>82</v>
      </c>
    </row>
    <row r="34" spans="3:4" x14ac:dyDescent="0.35">
      <c r="C34" s="16" t="s">
        <v>94</v>
      </c>
      <c r="D34" s="16" t="s">
        <v>98</v>
      </c>
    </row>
    <row r="35" spans="3:4" x14ac:dyDescent="0.35">
      <c r="C35" s="16" t="s">
        <v>94</v>
      </c>
      <c r="D35" s="16" t="s">
        <v>101</v>
      </c>
    </row>
    <row r="36" spans="3:4" x14ac:dyDescent="0.35">
      <c r="C36" s="16" t="s">
        <v>94</v>
      </c>
      <c r="D36" s="16" t="s">
        <v>109</v>
      </c>
    </row>
    <row r="37" spans="3:4" x14ac:dyDescent="0.35">
      <c r="C37" s="16" t="s">
        <v>94</v>
      </c>
      <c r="D37" s="16" t="s">
        <v>107</v>
      </c>
    </row>
    <row r="38" spans="3:4" x14ac:dyDescent="0.35">
      <c r="C38" s="16" t="s">
        <v>94</v>
      </c>
      <c r="D38" s="16" t="s">
        <v>108</v>
      </c>
    </row>
    <row r="39" spans="3:4" x14ac:dyDescent="0.35">
      <c r="C39" s="16" t="s">
        <v>93</v>
      </c>
      <c r="D39" s="16" t="s">
        <v>162</v>
      </c>
    </row>
    <row r="40" spans="3:4" x14ac:dyDescent="0.35">
      <c r="C40" s="16" t="s">
        <v>94</v>
      </c>
      <c r="D40" s="16" t="s">
        <v>163</v>
      </c>
    </row>
    <row r="41" spans="3:4" x14ac:dyDescent="0.35">
      <c r="C41" s="16"/>
      <c r="D41" s="16"/>
    </row>
    <row r="42" spans="3:4" x14ac:dyDescent="0.35">
      <c r="C42" s="16"/>
      <c r="D42" s="16"/>
    </row>
    <row r="43" spans="3:4" x14ac:dyDescent="0.35">
      <c r="C43" s="16"/>
      <c r="D43" s="16"/>
    </row>
    <row r="44" spans="3:4" x14ac:dyDescent="0.35">
      <c r="C44" s="16"/>
      <c r="D44" s="16"/>
    </row>
    <row r="45" spans="3:4" x14ac:dyDescent="0.35">
      <c r="C45" s="16"/>
      <c r="D45" s="16"/>
    </row>
    <row r="46" spans="3:4" x14ac:dyDescent="0.35">
      <c r="C46" s="16"/>
      <c r="D46" s="16"/>
    </row>
    <row r="47" spans="3:4" x14ac:dyDescent="0.35">
      <c r="C47" s="16"/>
      <c r="D47" s="16"/>
    </row>
    <row r="48" spans="3:4" x14ac:dyDescent="0.35">
      <c r="C48" s="16"/>
      <c r="D48" s="16"/>
    </row>
    <row r="49" spans="3:4" x14ac:dyDescent="0.35">
      <c r="C49" s="16"/>
      <c r="D49" s="16"/>
    </row>
    <row r="50" spans="3:4" x14ac:dyDescent="0.35">
      <c r="C50" s="16"/>
      <c r="D50" s="16"/>
    </row>
    <row r="51" spans="3:4" x14ac:dyDescent="0.35">
      <c r="C51" s="16"/>
      <c r="D51" s="16"/>
    </row>
    <row r="52" spans="3:4" x14ac:dyDescent="0.35">
      <c r="C52" s="16"/>
      <c r="D52" s="16"/>
    </row>
    <row r="53" spans="3:4" x14ac:dyDescent="0.35">
      <c r="C53" s="16"/>
      <c r="D53" s="16"/>
    </row>
    <row r="54" spans="3:4" x14ac:dyDescent="0.35">
      <c r="C54" s="16"/>
      <c r="D54" s="16"/>
    </row>
    <row r="55" spans="3:4" x14ac:dyDescent="0.35">
      <c r="C55" s="16"/>
      <c r="D55" s="16"/>
    </row>
    <row r="56" spans="3:4" x14ac:dyDescent="0.35">
      <c r="C56" s="16"/>
      <c r="D56" s="16"/>
    </row>
    <row r="57" spans="3:4" x14ac:dyDescent="0.35">
      <c r="C57" s="16"/>
      <c r="D57" s="16"/>
    </row>
    <row r="58" spans="3:4" x14ac:dyDescent="0.35">
      <c r="C58" s="16"/>
      <c r="D58" s="16"/>
    </row>
    <row r="59" spans="3:4" x14ac:dyDescent="0.35">
      <c r="C59" s="16"/>
      <c r="D59" s="16"/>
    </row>
    <row r="60" spans="3:4" x14ac:dyDescent="0.35">
      <c r="C60" s="16"/>
      <c r="D60" s="16"/>
    </row>
    <row r="61" spans="3:4" x14ac:dyDescent="0.35">
      <c r="C61" s="16"/>
      <c r="D61" s="16"/>
    </row>
    <row r="62" spans="3:4" x14ac:dyDescent="0.35">
      <c r="C62" s="16"/>
      <c r="D62" s="16"/>
    </row>
    <row r="63" spans="3:4" x14ac:dyDescent="0.35">
      <c r="C63" s="16"/>
      <c r="D63" s="16"/>
    </row>
    <row r="64" spans="3:4" x14ac:dyDescent="0.35">
      <c r="C64" s="16"/>
      <c r="D64" s="16"/>
    </row>
    <row r="65" spans="3:4" x14ac:dyDescent="0.35">
      <c r="C65" s="16"/>
      <c r="D65" s="16"/>
    </row>
    <row r="66" spans="3:4" x14ac:dyDescent="0.35">
      <c r="C66" s="16"/>
      <c r="D66" s="16"/>
    </row>
    <row r="67" spans="3:4" x14ac:dyDescent="0.35">
      <c r="C67" s="16"/>
      <c r="D67" s="16"/>
    </row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DB19-9F28-49FC-8F0B-0DB42F959589}">
  <dimension ref="A1:A15"/>
  <sheetViews>
    <sheetView zoomScale="132" workbookViewId="0">
      <selection activeCell="A15" sqref="A15"/>
    </sheetView>
  </sheetViews>
  <sheetFormatPr defaultRowHeight="14.5" x14ac:dyDescent="0.35"/>
  <cols>
    <col min="1" max="1" width="18.453125" customWidth="1"/>
    <col min="2" max="2" width="38.08984375" customWidth="1"/>
  </cols>
  <sheetData>
    <row r="1" spans="1:1" x14ac:dyDescent="0.35">
      <c r="A1" t="s">
        <v>18</v>
      </c>
    </row>
    <row r="2" spans="1:1" x14ac:dyDescent="0.35">
      <c r="A2" t="str" cm="1">
        <f t="array" ref="A2:A15">_xlfn.UNIQUE(TabelaLokale[Miasto])</f>
        <v>BYDGOSZCZ</v>
      </c>
    </row>
    <row r="3" spans="1:1" x14ac:dyDescent="0.35">
      <c r="A3" t="str">
        <v xml:space="preserve">KATOWICE   </v>
      </c>
    </row>
    <row r="4" spans="1:1" x14ac:dyDescent="0.35">
      <c r="A4" t="str">
        <v>POZNAŃ</v>
      </c>
    </row>
    <row r="5" spans="1:1" x14ac:dyDescent="0.35">
      <c r="A5" t="str">
        <v>RZESZÓW</v>
      </c>
    </row>
    <row r="6" spans="1:1" x14ac:dyDescent="0.35">
      <c r="A6" t="str">
        <v>WROCŁAW</v>
      </c>
    </row>
    <row r="7" spans="1:1" x14ac:dyDescent="0.35">
      <c r="A7" t="str">
        <v>WARSZAWA</v>
      </c>
    </row>
    <row r="8" spans="1:1" x14ac:dyDescent="0.35">
      <c r="A8" t="str">
        <v>SONATA</v>
      </c>
    </row>
    <row r="9" spans="1:1" x14ac:dyDescent="0.35">
      <c r="A9" t="str">
        <v>WARSZAWA ZACHODNIA</v>
      </c>
    </row>
    <row r="10" spans="1:1" x14ac:dyDescent="0.35">
      <c r="A10" t="str">
        <v>MODLIN</v>
      </c>
    </row>
    <row r="11" spans="1:1" x14ac:dyDescent="0.35">
      <c r="A11" t="str">
        <v>RADOM</v>
      </c>
    </row>
    <row r="12" spans="1:1" x14ac:dyDescent="0.35">
      <c r="A12" t="str">
        <v xml:space="preserve">KRAKÓW </v>
      </c>
    </row>
    <row r="13" spans="1:1" x14ac:dyDescent="0.35">
      <c r="A13" t="str">
        <v>ŚWINOUJŚCIE</v>
      </c>
    </row>
    <row r="14" spans="1:1" x14ac:dyDescent="0.35">
      <c r="A14" t="str">
        <v>ZIELONA GÓRA</v>
      </c>
    </row>
    <row r="15" spans="1:1" x14ac:dyDescent="0.35">
      <c r="A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0CA6-D269-4819-9A4B-76E2580FC29D}">
  <dimension ref="B1:F22"/>
  <sheetViews>
    <sheetView zoomScale="69" zoomScaleNormal="86" workbookViewId="0">
      <selection activeCell="F186" sqref="F186"/>
    </sheetView>
  </sheetViews>
  <sheetFormatPr defaultRowHeight="14.5" x14ac:dyDescent="0.35"/>
  <cols>
    <col min="2" max="2" width="22.90625" style="2" customWidth="1"/>
    <col min="3" max="3" width="22.81640625" style="2" customWidth="1"/>
    <col min="4" max="4" width="15.6328125" style="2" customWidth="1"/>
    <col min="5" max="5" width="26.08984375" style="2" customWidth="1"/>
    <col min="6" max="6" width="16.90625" customWidth="1"/>
  </cols>
  <sheetData>
    <row r="1" spans="2:6" ht="15" thickBot="1" x14ac:dyDescent="0.4">
      <c r="E1" s="17"/>
    </row>
    <row r="2" spans="2:6" ht="15" thickBot="1" x14ac:dyDescent="0.4">
      <c r="B2" s="38" t="s">
        <v>126</v>
      </c>
      <c r="C2" s="39" t="s">
        <v>122</v>
      </c>
      <c r="D2" s="39" t="s">
        <v>141</v>
      </c>
      <c r="E2" s="40" t="s">
        <v>124</v>
      </c>
      <c r="F2" s="2"/>
    </row>
    <row r="3" spans="2:6" ht="15" thickBot="1" x14ac:dyDescent="0.4">
      <c r="B3" s="56" t="s">
        <v>142</v>
      </c>
      <c r="C3" s="54" t="s">
        <v>123</v>
      </c>
      <c r="D3" s="21">
        <v>1</v>
      </c>
      <c r="E3" s="37">
        <v>4</v>
      </c>
      <c r="F3" s="2"/>
    </row>
    <row r="4" spans="2:6" ht="15" thickBot="1" x14ac:dyDescent="0.4">
      <c r="B4" s="56"/>
      <c r="C4" s="55"/>
      <c r="D4" s="19">
        <v>1</v>
      </c>
      <c r="E4" s="25">
        <v>5</v>
      </c>
      <c r="F4" s="2"/>
    </row>
    <row r="5" spans="2:6" ht="15" thickBot="1" x14ac:dyDescent="0.4">
      <c r="B5" s="49"/>
      <c r="C5" s="26" t="s">
        <v>143</v>
      </c>
      <c r="D5" s="26">
        <v>1</v>
      </c>
      <c r="E5" s="27" t="s">
        <v>125</v>
      </c>
      <c r="F5" s="2"/>
    </row>
    <row r="6" spans="2:6" ht="15" thickBot="1" x14ac:dyDescent="0.4">
      <c r="B6" s="50" t="s">
        <v>127</v>
      </c>
      <c r="C6" s="22" t="s">
        <v>128</v>
      </c>
      <c r="D6" s="22">
        <v>2</v>
      </c>
      <c r="E6" s="23">
        <v>2</v>
      </c>
      <c r="F6" s="2"/>
    </row>
    <row r="7" spans="2:6" ht="15" thickBot="1" x14ac:dyDescent="0.4">
      <c r="B7" s="51"/>
      <c r="C7" s="53" t="s">
        <v>123</v>
      </c>
      <c r="D7" s="20">
        <v>2</v>
      </c>
      <c r="E7" s="24">
        <v>3</v>
      </c>
    </row>
    <row r="8" spans="2:6" ht="15" thickBot="1" x14ac:dyDescent="0.4">
      <c r="B8" s="51"/>
      <c r="C8" s="54"/>
      <c r="D8" s="19">
        <v>1</v>
      </c>
      <c r="E8" s="25">
        <v>5</v>
      </c>
    </row>
    <row r="9" spans="2:6" ht="15" thickBot="1" x14ac:dyDescent="0.4">
      <c r="B9" s="51"/>
      <c r="C9" s="54"/>
      <c r="D9" s="20">
        <v>1</v>
      </c>
      <c r="E9" s="24">
        <v>7</v>
      </c>
    </row>
    <row r="10" spans="2:6" ht="15" thickBot="1" x14ac:dyDescent="0.4">
      <c r="B10" s="51"/>
      <c r="C10" s="55"/>
      <c r="D10" s="19">
        <v>3</v>
      </c>
      <c r="E10" s="25">
        <v>21</v>
      </c>
    </row>
    <row r="11" spans="2:6" ht="15" thickBot="1" x14ac:dyDescent="0.4">
      <c r="B11" s="52"/>
      <c r="C11" s="26" t="s">
        <v>129</v>
      </c>
      <c r="D11" s="26">
        <v>1</v>
      </c>
      <c r="E11" s="27">
        <v>9</v>
      </c>
    </row>
    <row r="12" spans="2:6" ht="15" thickBot="1" x14ac:dyDescent="0.4">
      <c r="B12" s="29" t="s">
        <v>130</v>
      </c>
      <c r="C12" s="30" t="s">
        <v>131</v>
      </c>
      <c r="D12" s="30">
        <v>1</v>
      </c>
      <c r="E12" s="31">
        <v>14</v>
      </c>
    </row>
    <row r="13" spans="2:6" ht="15" thickBot="1" x14ac:dyDescent="0.4">
      <c r="B13" s="32" t="s">
        <v>132</v>
      </c>
      <c r="C13" s="33" t="s">
        <v>134</v>
      </c>
      <c r="D13" s="33">
        <v>1</v>
      </c>
      <c r="E13" s="34">
        <v>2</v>
      </c>
    </row>
    <row r="14" spans="2:6" ht="15" thickBot="1" x14ac:dyDescent="0.4">
      <c r="B14" s="29" t="s">
        <v>133</v>
      </c>
      <c r="C14" s="30" t="s">
        <v>134</v>
      </c>
      <c r="D14" s="30">
        <v>1</v>
      </c>
      <c r="E14" s="31">
        <v>2</v>
      </c>
    </row>
    <row r="15" spans="2:6" ht="15" thickBot="1" x14ac:dyDescent="0.4">
      <c r="B15" s="32" t="s">
        <v>135</v>
      </c>
      <c r="C15" s="33" t="s">
        <v>134</v>
      </c>
      <c r="D15" s="33">
        <v>1</v>
      </c>
      <c r="E15" s="34">
        <v>2</v>
      </c>
    </row>
    <row r="16" spans="2:6" ht="15" thickBot="1" x14ac:dyDescent="0.4">
      <c r="B16" s="29" t="s">
        <v>136</v>
      </c>
      <c r="C16" s="30" t="s">
        <v>134</v>
      </c>
      <c r="D16" s="30">
        <v>2</v>
      </c>
      <c r="E16" s="31">
        <v>2</v>
      </c>
    </row>
    <row r="17" spans="2:5" ht="15" thickBot="1" x14ac:dyDescent="0.4">
      <c r="B17" s="48" t="s">
        <v>137</v>
      </c>
      <c r="C17" s="18" t="s">
        <v>134</v>
      </c>
      <c r="D17" s="18">
        <v>1</v>
      </c>
      <c r="E17" s="28">
        <v>2</v>
      </c>
    </row>
    <row r="18" spans="2:5" ht="15" thickBot="1" x14ac:dyDescent="0.4">
      <c r="B18" s="49"/>
      <c r="C18" s="35" t="s">
        <v>131</v>
      </c>
      <c r="D18" s="35">
        <v>1</v>
      </c>
      <c r="E18" s="36">
        <v>5</v>
      </c>
    </row>
    <row r="19" spans="2:5" ht="15" thickBot="1" x14ac:dyDescent="0.4">
      <c r="B19" s="48" t="s">
        <v>138</v>
      </c>
      <c r="C19" s="18" t="s">
        <v>134</v>
      </c>
      <c r="D19" s="18">
        <v>1</v>
      </c>
      <c r="E19" s="28">
        <v>2</v>
      </c>
    </row>
    <row r="20" spans="2:5" ht="15" thickBot="1" x14ac:dyDescent="0.4">
      <c r="B20" s="49"/>
      <c r="C20" s="35" t="s">
        <v>139</v>
      </c>
      <c r="D20" s="35">
        <v>1</v>
      </c>
      <c r="E20" s="36">
        <v>2</v>
      </c>
    </row>
    <row r="21" spans="2:5" ht="15" thickBot="1" x14ac:dyDescent="0.4">
      <c r="B21" s="48" t="s">
        <v>140</v>
      </c>
      <c r="C21" s="18" t="s">
        <v>134</v>
      </c>
      <c r="D21" s="18">
        <v>1</v>
      </c>
      <c r="E21" s="28">
        <v>2</v>
      </c>
    </row>
    <row r="22" spans="2:5" ht="15" thickBot="1" x14ac:dyDescent="0.4">
      <c r="B22" s="49"/>
      <c r="C22" s="35" t="s">
        <v>131</v>
      </c>
      <c r="D22" s="35">
        <v>1</v>
      </c>
      <c r="E22" s="36">
        <v>5</v>
      </c>
    </row>
  </sheetData>
  <mergeCells count="7">
    <mergeCell ref="B19:B20"/>
    <mergeCell ref="B21:B22"/>
    <mergeCell ref="B6:B11"/>
    <mergeCell ref="C7:C10"/>
    <mergeCell ref="B3:B5"/>
    <mergeCell ref="C3:C4"/>
    <mergeCell ref="B17:B18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BE40-5FEA-4FCA-AAD1-B2C9D88997F7}">
  <dimension ref="A1:BG1824"/>
  <sheetViews>
    <sheetView topLeftCell="A115" zoomScale="69" zoomScaleNormal="79" workbookViewId="0">
      <selection activeCell="F128" sqref="F128"/>
    </sheetView>
  </sheetViews>
  <sheetFormatPr defaultRowHeight="25" customHeight="1" x14ac:dyDescent="0.35"/>
  <cols>
    <col min="1" max="1" width="30.81640625" style="12" customWidth="1"/>
    <col min="2" max="2" width="23.90625" style="12" customWidth="1"/>
    <col min="3" max="3" width="22.81640625" style="12" customWidth="1"/>
    <col min="4" max="4" width="30.54296875" style="12" customWidth="1"/>
    <col min="5" max="5" width="27.26953125" style="12" customWidth="1"/>
    <col min="6" max="6" width="28.36328125" style="12" customWidth="1"/>
    <col min="7" max="7" width="33.6328125" style="12" customWidth="1"/>
    <col min="8" max="8" width="23.26953125" style="12" bestFit="1" customWidth="1"/>
    <col min="9" max="9" width="47.7265625" style="12" customWidth="1"/>
    <col min="10" max="10" width="6.1796875" style="12" hidden="1" customWidth="1"/>
    <col min="11" max="11" width="34" style="13" customWidth="1"/>
    <col min="12" max="14" width="16.81640625" style="13" customWidth="1"/>
    <col min="15" max="15" width="15" style="13" customWidth="1"/>
    <col min="16" max="31" width="16.81640625" style="13" customWidth="1"/>
    <col min="32" max="53" width="20.453125" style="13" customWidth="1"/>
    <col min="54" max="16384" width="8.7265625" style="12"/>
  </cols>
  <sheetData>
    <row r="1" spans="1:59" ht="25" customHeight="1" x14ac:dyDescent="0.35">
      <c r="A1" s="3" t="s">
        <v>0</v>
      </c>
      <c r="B1" s="3" t="s">
        <v>1</v>
      </c>
      <c r="C1" s="3" t="s">
        <v>78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19</v>
      </c>
      <c r="J1" s="3" t="s">
        <v>20</v>
      </c>
      <c r="K1" s="3" t="s">
        <v>21</v>
      </c>
      <c r="BB1" s="13"/>
      <c r="BC1" s="13"/>
      <c r="BD1" s="13"/>
      <c r="BE1" s="13"/>
      <c r="BF1" s="13"/>
    </row>
    <row r="2" spans="1:59" ht="25" customHeight="1" x14ac:dyDescent="0.35">
      <c r="A2" s="12" t="s">
        <v>10</v>
      </c>
      <c r="B2" s="1" t="s">
        <v>51</v>
      </c>
      <c r="C2" s="12" t="s">
        <v>93</v>
      </c>
      <c r="D2" s="12" t="s">
        <v>157</v>
      </c>
      <c r="E2" s="15">
        <v>46163</v>
      </c>
      <c r="F2" s="1">
        <v>12</v>
      </c>
      <c r="G2" s="4">
        <f t="shared" ref="G2:G13" si="0">IF(OR(E2="",F2=""),"",DATE(YEAR(E2),MONTH(E2)+F2,DAY(E2)))</f>
        <v>46528</v>
      </c>
      <c r="H2" s="12" t="str">
        <f t="shared" ref="H2:H49" ca="1" si="1">IF(G2="","",IF(G2&lt;TODAY(),"PO TERMINIE",IF(G2&lt;=TODAY()+14,"DO WYKONANIA","OK")))</f>
        <v>OK</v>
      </c>
      <c r="I2" s="14"/>
      <c r="J2" s="1" t="str">
        <f t="shared" ref="J2:J4" si="2">IF(COUNTA(A2:F2)=0,"",IF(I2="","BRAK PROTOKOŁU","DODANY"))</f>
        <v>BRAK PROTOKOŁU</v>
      </c>
      <c r="K2" s="1"/>
      <c r="M2" s="13" t="str" cm="1">
        <f t="array" ref="M2:U2">IF($A2="","",IFERROR(TRANSPOSE(_xlfn._xlws.FILTER(Lokale!$C$3:$C$91,Lokale!$B$3:$B$91=$A2)),""))</f>
        <v>212 (Cavarious)</v>
      </c>
      <c r="N2" s="13" t="str">
        <v>211 (Travel Chef)</v>
      </c>
      <c r="O2" s="13" t="str">
        <v>213 (Cavarious NS)</v>
      </c>
      <c r="P2" s="13" t="str">
        <v>BR1 (Multistore)</v>
      </c>
      <c r="Q2" s="13" t="str">
        <v>BR2 (ZOOM)</v>
      </c>
      <c r="R2" s="13" t="str">
        <v>BR3 (Ministore)</v>
      </c>
      <c r="S2" s="13" t="str">
        <v>214 (Bistro)</v>
      </c>
      <c r="T2" s="13" t="str">
        <v>BR4 (Starter)</v>
      </c>
      <c r="U2" s="13" t="str">
        <v>Wszystkie lokale</v>
      </c>
      <c r="AJ2" s="13" t="str" cm="1">
        <f t="array" ref="AJ2:BG2">IF($C2="","",IFERROR(TRANSPOSE(_xlfn._xlws.FILTER(Listy!$D$2:$D$60,Listy!$C$2:$C$60=$C2)),""))</f>
        <v>Elektryczny (roczny)</v>
      </c>
      <c r="AK2" s="13" t="str">
        <v>Elektryczny (5-cio letni)</v>
      </c>
      <c r="AL2" s="13" t="str">
        <v>Systemy PPOŻ</v>
      </c>
      <c r="AM2" s="13" t="str">
        <v>Gaśnice</v>
      </c>
      <c r="AN2" s="13" t="str">
        <v>Klimatyzacja</v>
      </c>
      <c r="AO2" s="13" t="str">
        <v>Alarmy</v>
      </c>
      <c r="AP2" s="13" t="str">
        <v>Hydranty</v>
      </c>
      <c r="AQ2" s="13" t="str">
        <v xml:space="preserve">Rolety </v>
      </c>
      <c r="AR2" s="13" t="str">
        <v>Wentylacja</v>
      </c>
      <c r="AS2" s="13" t="str">
        <v>Wymiana filtrów</v>
      </c>
      <c r="AT2" s="13" t="str">
        <v>Regałów magazynowych</v>
      </c>
      <c r="AU2" s="13" t="str">
        <v>CRO</v>
      </c>
      <c r="AV2" s="13" t="str">
        <v>Mroźnia/Chłodnia</v>
      </c>
      <c r="AW2" s="13" t="str">
        <v>Regały chłodnicze</v>
      </c>
      <c r="AX2" s="13" t="str">
        <v>Separatory tłuszczu</v>
      </c>
      <c r="AY2" s="13" t="str">
        <v>Vendingi</v>
      </c>
      <c r="AZ2" s="13" t="str">
        <v>UDT (wózki widłowe, paleciaki)</v>
      </c>
      <c r="BA2" s="13" t="str">
        <v>BHP (drabiny, schodki, podesty)</v>
      </c>
      <c r="BB2" s="12" t="str">
        <v>Ansul</v>
      </c>
      <c r="BC2" s="12" t="str">
        <v>Okap</v>
      </c>
      <c r="BD2" s="12" t="str">
        <v>Brama garażowa</v>
      </c>
      <c r="BE2" s="12" t="str">
        <v>Żaluzje (gastro)</v>
      </c>
      <c r="BF2" s="12" t="str">
        <v>Bramki antykradzieżowe</v>
      </c>
      <c r="BG2" s="12" t="str">
        <v>Mycie jednostek klimatyzacji</v>
      </c>
    </row>
    <row r="3" spans="1:59" ht="25" customHeight="1" x14ac:dyDescent="0.35">
      <c r="A3" s="12" t="s">
        <v>10</v>
      </c>
      <c r="B3" s="1" t="s">
        <v>144</v>
      </c>
      <c r="C3" s="12" t="s">
        <v>93</v>
      </c>
      <c r="D3" s="12" t="s">
        <v>157</v>
      </c>
      <c r="E3" s="15">
        <v>46163</v>
      </c>
      <c r="F3" s="1">
        <v>12</v>
      </c>
      <c r="G3" s="4">
        <f t="shared" si="0"/>
        <v>46528</v>
      </c>
      <c r="H3" s="12" t="str">
        <f t="shared" ca="1" si="1"/>
        <v>OK</v>
      </c>
      <c r="I3" s="14"/>
      <c r="J3" s="1" t="str">
        <f t="shared" si="2"/>
        <v>BRAK PROTOKOŁU</v>
      </c>
      <c r="K3" s="1"/>
      <c r="M3" s="13" t="str" cm="1">
        <f t="array" ref="M3:U3">IF($A3="","",IFERROR(TRANSPOSE(_xlfn._xlws.FILTER(Lokale!$C$3:$C$91,Lokale!$B$3:$B$91=$A3)),""))</f>
        <v>212 (Cavarious)</v>
      </c>
      <c r="N3" s="13" t="str">
        <v>211 (Travel Chef)</v>
      </c>
      <c r="O3" s="13" t="str">
        <v>213 (Cavarious NS)</v>
      </c>
      <c r="P3" s="13" t="str">
        <v>BR1 (Multistore)</v>
      </c>
      <c r="Q3" s="13" t="str">
        <v>BR2 (ZOOM)</v>
      </c>
      <c r="R3" s="13" t="str">
        <v>BR3 (Ministore)</v>
      </c>
      <c r="S3" s="13" t="str">
        <v>214 (Bistro)</v>
      </c>
      <c r="T3" s="13" t="str">
        <v>BR4 (Starter)</v>
      </c>
      <c r="U3" s="13" t="str">
        <v>Wszystkie lokale</v>
      </c>
      <c r="AJ3" s="13" t="str" cm="1">
        <f t="array" ref="AJ3:BG3">IF($C3="","",IFERROR(TRANSPOSE(_xlfn._xlws.FILTER(Listy!$D$2:$D$60,Listy!$C$2:$C$60=$C3)),""))</f>
        <v>Elektryczny (roczny)</v>
      </c>
      <c r="AK3" s="13" t="str">
        <v>Elektryczny (5-cio letni)</v>
      </c>
      <c r="AL3" s="13" t="str">
        <v>Systemy PPOŻ</v>
      </c>
      <c r="AM3" s="13" t="str">
        <v>Gaśnice</v>
      </c>
      <c r="AN3" s="13" t="str">
        <v>Klimatyzacja</v>
      </c>
      <c r="AO3" s="13" t="str">
        <v>Alarmy</v>
      </c>
      <c r="AP3" s="13" t="str">
        <v>Hydranty</v>
      </c>
      <c r="AQ3" s="13" t="str">
        <v xml:space="preserve">Rolety </v>
      </c>
      <c r="AR3" s="13" t="str">
        <v>Wentylacja</v>
      </c>
      <c r="AS3" s="13" t="str">
        <v>Wymiana filtrów</v>
      </c>
      <c r="AT3" s="13" t="str">
        <v>Regałów magazynowych</v>
      </c>
      <c r="AU3" s="13" t="str">
        <v>CRO</v>
      </c>
      <c r="AV3" s="13" t="str">
        <v>Mroźnia/Chłodnia</v>
      </c>
      <c r="AW3" s="13" t="str">
        <v>Regały chłodnicze</v>
      </c>
      <c r="AX3" s="13" t="str">
        <v>Separatory tłuszczu</v>
      </c>
      <c r="AY3" s="13" t="str">
        <v>Vendingi</v>
      </c>
      <c r="AZ3" s="13" t="str">
        <v>UDT (wózki widłowe, paleciaki)</v>
      </c>
      <c r="BA3" s="13" t="str">
        <v>BHP (drabiny, schodki, podesty)</v>
      </c>
      <c r="BB3" s="12" t="str">
        <v>Ansul</v>
      </c>
      <c r="BC3" s="12" t="str">
        <v>Okap</v>
      </c>
      <c r="BD3" s="12" t="str">
        <v>Brama garażowa</v>
      </c>
      <c r="BE3" s="12" t="str">
        <v>Żaluzje (gastro)</v>
      </c>
      <c r="BF3" s="12" t="str">
        <v>Bramki antykradzieżowe</v>
      </c>
      <c r="BG3" s="12" t="str">
        <v>Mycie jednostek klimatyzacji</v>
      </c>
    </row>
    <row r="4" spans="1:59" ht="25" customHeight="1" x14ac:dyDescent="0.35">
      <c r="A4" s="12" t="s">
        <v>145</v>
      </c>
      <c r="B4" s="1" t="s">
        <v>146</v>
      </c>
      <c r="C4" s="12" t="s">
        <v>93</v>
      </c>
      <c r="D4" s="12" t="s">
        <v>157</v>
      </c>
      <c r="E4" s="15">
        <v>46091</v>
      </c>
      <c r="F4" s="1">
        <v>12</v>
      </c>
      <c r="G4" s="4">
        <f t="shared" si="0"/>
        <v>46456</v>
      </c>
      <c r="H4" s="12" t="str">
        <f t="shared" ca="1" si="1"/>
        <v>OK</v>
      </c>
      <c r="I4" s="14"/>
      <c r="J4" s="1" t="str">
        <f t="shared" si="2"/>
        <v>BRAK PROTOKOŁU</v>
      </c>
      <c r="K4" s="1"/>
      <c r="M4" s="13" t="str" cm="1">
        <f t="array" ref="M4">IF($A4="","",IFERROR(TRANSPOSE(_xlfn._xlws.FILTER(Lokale!$C$3:$C$91,Lokale!$B$3:$B$91=$A4)),""))</f>
        <v>210 (NOTAM)</v>
      </c>
      <c r="AJ4" s="13" t="str" cm="1">
        <f t="array" ref="AJ4:BG4">IF($C4="","",IFERROR(TRANSPOSE(_xlfn._xlws.FILTER(Listy!$D$2:$D$60,Listy!$C$2:$C$60=$C4)),""))</f>
        <v>Elektryczny (roczny)</v>
      </c>
      <c r="AK4" s="13" t="str">
        <v>Elektryczny (5-cio letni)</v>
      </c>
      <c r="AL4" s="13" t="str">
        <v>Systemy PPOŻ</v>
      </c>
      <c r="AM4" s="13" t="str">
        <v>Gaśnice</v>
      </c>
      <c r="AN4" s="13" t="str">
        <v>Klimatyzacja</v>
      </c>
      <c r="AO4" s="13" t="str">
        <v>Alarmy</v>
      </c>
      <c r="AP4" s="13" t="str">
        <v>Hydranty</v>
      </c>
      <c r="AQ4" s="13" t="str">
        <v xml:space="preserve">Rolety </v>
      </c>
      <c r="AR4" s="13" t="str">
        <v>Wentylacja</v>
      </c>
      <c r="AS4" s="13" t="str">
        <v>Wymiana filtrów</v>
      </c>
      <c r="AT4" s="13" t="str">
        <v>Regałów magazynowych</v>
      </c>
      <c r="AU4" s="13" t="str">
        <v>CRO</v>
      </c>
      <c r="AV4" s="13" t="str">
        <v>Mroźnia/Chłodnia</v>
      </c>
      <c r="AW4" s="13" t="str">
        <v>Regały chłodnicze</v>
      </c>
      <c r="AX4" s="13" t="str">
        <v>Separatory tłuszczu</v>
      </c>
      <c r="AY4" s="13" t="str">
        <v>Vendingi</v>
      </c>
      <c r="AZ4" s="13" t="str">
        <v>UDT (wózki widłowe, paleciaki)</v>
      </c>
      <c r="BA4" s="13" t="str">
        <v>BHP (drabiny, schodki, podesty)</v>
      </c>
      <c r="BB4" s="12" t="str">
        <v>Ansul</v>
      </c>
      <c r="BC4" s="12" t="str">
        <v>Okap</v>
      </c>
      <c r="BD4" s="12" t="str">
        <v>Brama garażowa</v>
      </c>
      <c r="BE4" s="12" t="str">
        <v>Żaluzje (gastro)</v>
      </c>
      <c r="BF4" s="12" t="str">
        <v>Bramki antykradzieżowe</v>
      </c>
      <c r="BG4" s="12" t="str">
        <v>Mycie jednostek klimatyzacji</v>
      </c>
    </row>
    <row r="5" spans="1:59" ht="25" customHeight="1" x14ac:dyDescent="0.35">
      <c r="A5" s="12" t="s">
        <v>10</v>
      </c>
      <c r="B5" s="1" t="s">
        <v>50</v>
      </c>
      <c r="C5" s="12" t="s">
        <v>93</v>
      </c>
      <c r="D5" s="12" t="s">
        <v>157</v>
      </c>
      <c r="E5" s="15">
        <v>46168</v>
      </c>
      <c r="F5" s="1">
        <v>12</v>
      </c>
      <c r="G5" s="4">
        <f t="shared" si="0"/>
        <v>46533</v>
      </c>
      <c r="H5" s="12" t="str">
        <f t="shared" ca="1" si="1"/>
        <v>OK</v>
      </c>
      <c r="M5" s="13" t="str" cm="1">
        <f t="array" ref="M5:U5">IF($A5="","",IFERROR(TRANSPOSE(_xlfn._xlws.FILTER(Lokale!$C$3:$C$91,Lokale!$B$3:$B$91=$A5)),""))</f>
        <v>212 (Cavarious)</v>
      </c>
      <c r="N5" s="13" t="str">
        <v>211 (Travel Chef)</v>
      </c>
      <c r="O5" s="13" t="str">
        <v>213 (Cavarious NS)</v>
      </c>
      <c r="P5" s="13" t="str">
        <v>BR1 (Multistore)</v>
      </c>
      <c r="Q5" s="13" t="str">
        <v>BR2 (ZOOM)</v>
      </c>
      <c r="R5" s="13" t="str">
        <v>BR3 (Ministore)</v>
      </c>
      <c r="S5" s="13" t="str">
        <v>214 (Bistro)</v>
      </c>
      <c r="T5" s="13" t="str">
        <v>BR4 (Starter)</v>
      </c>
      <c r="U5" s="13" t="str">
        <v>Wszystkie lokale</v>
      </c>
    </row>
    <row r="6" spans="1:59" ht="25" customHeight="1" x14ac:dyDescent="0.35">
      <c r="A6" s="12" t="s">
        <v>5</v>
      </c>
      <c r="B6" s="1" t="s">
        <v>6</v>
      </c>
      <c r="C6" s="12" t="s">
        <v>93</v>
      </c>
      <c r="D6" s="12" t="s">
        <v>105</v>
      </c>
      <c r="E6" s="15">
        <v>46154</v>
      </c>
      <c r="F6" s="1">
        <v>12</v>
      </c>
      <c r="G6" s="4">
        <f t="shared" si="0"/>
        <v>46519</v>
      </c>
      <c r="H6" s="12" t="str">
        <f t="shared" ca="1" si="1"/>
        <v>OK</v>
      </c>
      <c r="I6" s="14"/>
      <c r="J6" s="1" t="str">
        <f>IF(COUNTA(A6:F6)=0,"",IF(I6="","BRAK PROTOKOŁU","DODANY"))</f>
        <v>BRAK PROTOKOŁU</v>
      </c>
      <c r="K6" s="1"/>
      <c r="M6" s="13" t="str" cm="1">
        <f t="array" ref="M6">IF($A6="","",IFERROR(TRANSPOSE(_xlfn._xlws.FILTER(Lokale!$C$3:$C$91,Lokale!$B$3:$B$91=$A6)),""))</f>
        <v>B76</v>
      </c>
      <c r="AJ6" s="13" t="str" cm="1">
        <f t="array" ref="AJ6:BG6">IF($C6="","",IFERROR(TRANSPOSE(_xlfn._xlws.FILTER(Listy!$D$2:$D$60,Listy!$C$2:$C$60=$C6)),""))</f>
        <v>Elektryczny (roczny)</v>
      </c>
      <c r="AK6" s="13" t="str">
        <v>Elektryczny (5-cio letni)</v>
      </c>
      <c r="AL6" s="13" t="str">
        <v>Systemy PPOŻ</v>
      </c>
      <c r="AM6" s="13" t="str">
        <v>Gaśnice</v>
      </c>
      <c r="AN6" s="13" t="str">
        <v>Klimatyzacja</v>
      </c>
      <c r="AO6" s="13" t="str">
        <v>Alarmy</v>
      </c>
      <c r="AP6" s="13" t="str">
        <v>Hydranty</v>
      </c>
      <c r="AQ6" s="13" t="str">
        <v xml:space="preserve">Rolety </v>
      </c>
      <c r="AR6" s="13" t="str">
        <v>Wentylacja</v>
      </c>
      <c r="AS6" s="13" t="str">
        <v>Wymiana filtrów</v>
      </c>
      <c r="AT6" s="13" t="str">
        <v>Regałów magazynowych</v>
      </c>
      <c r="AU6" s="13" t="str">
        <v>CRO</v>
      </c>
      <c r="AV6" s="13" t="str">
        <v>Mroźnia/Chłodnia</v>
      </c>
      <c r="AW6" s="13" t="str">
        <v>Regały chłodnicze</v>
      </c>
      <c r="AX6" s="13" t="str">
        <v>Separatory tłuszczu</v>
      </c>
      <c r="AY6" s="13" t="str">
        <v>Vendingi</v>
      </c>
      <c r="AZ6" s="13" t="str">
        <v>UDT (wózki widłowe, paleciaki)</v>
      </c>
      <c r="BA6" s="13" t="str">
        <v>BHP (drabiny, schodki, podesty)</v>
      </c>
      <c r="BB6" s="12" t="str">
        <v>Ansul</v>
      </c>
      <c r="BC6" s="12" t="str">
        <v>Okap</v>
      </c>
      <c r="BD6" s="12" t="str">
        <v>Brama garażowa</v>
      </c>
      <c r="BE6" s="12" t="str">
        <v>Żaluzje (gastro)</v>
      </c>
      <c r="BF6" s="12" t="str">
        <v>Bramki antykradzieżowe</v>
      </c>
      <c r="BG6" s="12" t="str">
        <v>Mycie jednostek klimatyzacji</v>
      </c>
    </row>
    <row r="7" spans="1:59" ht="25" customHeight="1" x14ac:dyDescent="0.35">
      <c r="A7" s="12" t="s">
        <v>26</v>
      </c>
      <c r="B7" s="1" t="s">
        <v>113</v>
      </c>
      <c r="C7" s="12" t="s">
        <v>93</v>
      </c>
      <c r="D7" s="12" t="s">
        <v>95</v>
      </c>
      <c r="E7" s="15">
        <v>46154</v>
      </c>
      <c r="F7" s="1">
        <v>12</v>
      </c>
      <c r="G7" s="4">
        <f t="shared" si="0"/>
        <v>46519</v>
      </c>
      <c r="H7" s="12" t="str">
        <f t="shared" ca="1" si="1"/>
        <v>OK</v>
      </c>
      <c r="I7" s="14"/>
      <c r="J7" s="1" t="str">
        <f t="shared" ref="J7:J65" si="3">IF(COUNTA(A7:F7)=0,"",IF(I7="","BRAK PROTOKOŁU","DODANY"))</f>
        <v>BRAK PROTOKOŁU</v>
      </c>
      <c r="K7" s="46" t="s">
        <v>150</v>
      </c>
      <c r="M7" s="13" t="str" cm="1">
        <f t="array" ref="M7:R7">IF($A7="","",IFERROR(TRANSPOSE(_xlfn._xlws.FILTER(Lokale!$C$3:$C$91,Lokale!$B$3:$B$91=$A7)),""))</f>
        <v>BK3 (Ministore)</v>
      </c>
      <c r="N7" s="13" t="str">
        <v>BK4 (Ministore NS)</v>
      </c>
      <c r="O7" s="13" t="str">
        <v>BK2 (Multistore)</v>
      </c>
      <c r="P7" s="13" t="str">
        <v>BK1 (Magazyn)</v>
      </c>
      <c r="Q7" s="13" t="str">
        <v>288 (Dworzec PKP)</v>
      </c>
      <c r="R7" s="13" t="str">
        <v>Wszystkie lokale</v>
      </c>
      <c r="AJ7" s="13" t="str" cm="1">
        <f t="array" ref="AJ7:BG7">IF($C7="","",IFERROR(TRANSPOSE(_xlfn._xlws.FILTER(Listy!$D$2:$D$60,Listy!$C$2:$C$60=$C7)),""))</f>
        <v>Elektryczny (roczny)</v>
      </c>
      <c r="AK7" s="13" t="str">
        <v>Elektryczny (5-cio letni)</v>
      </c>
      <c r="AL7" s="13" t="str">
        <v>Systemy PPOŻ</v>
      </c>
      <c r="AM7" s="13" t="str">
        <v>Gaśnice</v>
      </c>
      <c r="AN7" s="13" t="str">
        <v>Klimatyzacja</v>
      </c>
      <c r="AO7" s="13" t="str">
        <v>Alarmy</v>
      </c>
      <c r="AP7" s="13" t="str">
        <v>Hydranty</v>
      </c>
      <c r="AQ7" s="13" t="str">
        <v xml:space="preserve">Rolety </v>
      </c>
      <c r="AR7" s="13" t="str">
        <v>Wentylacja</v>
      </c>
      <c r="AS7" s="13" t="str">
        <v>Wymiana filtrów</v>
      </c>
      <c r="AT7" s="13" t="str">
        <v>Regałów magazynowych</v>
      </c>
      <c r="AU7" s="13" t="str">
        <v>CRO</v>
      </c>
      <c r="AV7" s="13" t="str">
        <v>Mroźnia/Chłodnia</v>
      </c>
      <c r="AW7" s="13" t="str">
        <v>Regały chłodnicze</v>
      </c>
      <c r="AX7" s="13" t="str">
        <v>Separatory tłuszczu</v>
      </c>
      <c r="AY7" s="13" t="str">
        <v>Vendingi</v>
      </c>
      <c r="AZ7" s="13" t="str">
        <v>UDT (wózki widłowe, paleciaki)</v>
      </c>
      <c r="BA7" s="13" t="str">
        <v>BHP (drabiny, schodki, podesty)</v>
      </c>
      <c r="BB7" s="12" t="str">
        <v>Ansul</v>
      </c>
      <c r="BC7" s="12" t="str">
        <v>Okap</v>
      </c>
      <c r="BD7" s="12" t="str">
        <v>Brama garażowa</v>
      </c>
      <c r="BE7" s="12" t="str">
        <v>Żaluzje (gastro)</v>
      </c>
      <c r="BF7" s="12" t="str">
        <v>Bramki antykradzieżowe</v>
      </c>
      <c r="BG7" s="12" t="str">
        <v>Mycie jednostek klimatyzacji</v>
      </c>
    </row>
    <row r="8" spans="1:59" ht="25" customHeight="1" x14ac:dyDescent="0.35">
      <c r="A8" s="12" t="s">
        <v>26</v>
      </c>
      <c r="B8" s="1" t="s">
        <v>113</v>
      </c>
      <c r="C8" s="12" t="s">
        <v>93</v>
      </c>
      <c r="D8" s="12" t="s">
        <v>95</v>
      </c>
      <c r="E8" s="15">
        <v>46154</v>
      </c>
      <c r="F8" s="1">
        <v>12</v>
      </c>
      <c r="G8" s="4">
        <f t="shared" si="0"/>
        <v>46519</v>
      </c>
      <c r="H8" s="12" t="str">
        <f t="shared" ca="1" si="1"/>
        <v>OK</v>
      </c>
      <c r="I8" s="14"/>
      <c r="J8" s="1" t="str">
        <f t="shared" si="3"/>
        <v>BRAK PROTOKOŁU</v>
      </c>
      <c r="K8" s="46" t="s">
        <v>151</v>
      </c>
      <c r="M8" s="13" t="str" cm="1">
        <f t="array" ref="M8:R8">IF($A8="","",IFERROR(TRANSPOSE(_xlfn._xlws.FILTER(Lokale!$C$3:$C$91,Lokale!$B$3:$B$91=$A8)),""))</f>
        <v>BK3 (Ministore)</v>
      </c>
      <c r="N8" s="13" t="str">
        <v>BK4 (Ministore NS)</v>
      </c>
      <c r="O8" s="13" t="str">
        <v>BK2 (Multistore)</v>
      </c>
      <c r="P8" s="13" t="str">
        <v>BK1 (Magazyn)</v>
      </c>
      <c r="Q8" s="13" t="str">
        <v>288 (Dworzec PKP)</v>
      </c>
      <c r="R8" s="13" t="str">
        <v>Wszystkie lokale</v>
      </c>
      <c r="AJ8" s="13" t="str" cm="1">
        <f t="array" ref="AJ8:BG8">IF($C8="","",IFERROR(TRANSPOSE(_xlfn._xlws.FILTER(Listy!$D$2:$D$60,Listy!$C$2:$C$60=$C8)),""))</f>
        <v>Elektryczny (roczny)</v>
      </c>
      <c r="AK8" s="13" t="str">
        <v>Elektryczny (5-cio letni)</v>
      </c>
      <c r="AL8" s="13" t="str">
        <v>Systemy PPOŻ</v>
      </c>
      <c r="AM8" s="13" t="str">
        <v>Gaśnice</v>
      </c>
      <c r="AN8" s="13" t="str">
        <v>Klimatyzacja</v>
      </c>
      <c r="AO8" s="13" t="str">
        <v>Alarmy</v>
      </c>
      <c r="AP8" s="13" t="str">
        <v>Hydranty</v>
      </c>
      <c r="AQ8" s="13" t="str">
        <v xml:space="preserve">Rolety </v>
      </c>
      <c r="AR8" s="13" t="str">
        <v>Wentylacja</v>
      </c>
      <c r="AS8" s="13" t="str">
        <v>Wymiana filtrów</v>
      </c>
      <c r="AT8" s="13" t="str">
        <v>Regałów magazynowych</v>
      </c>
      <c r="AU8" s="13" t="str">
        <v>CRO</v>
      </c>
      <c r="AV8" s="13" t="str">
        <v>Mroźnia/Chłodnia</v>
      </c>
      <c r="AW8" s="13" t="str">
        <v>Regały chłodnicze</v>
      </c>
      <c r="AX8" s="13" t="str">
        <v>Separatory tłuszczu</v>
      </c>
      <c r="AY8" s="13" t="str">
        <v>Vendingi</v>
      </c>
      <c r="AZ8" s="13" t="str">
        <v>UDT (wózki widłowe, paleciaki)</v>
      </c>
      <c r="BA8" s="13" t="str">
        <v>BHP (drabiny, schodki, podesty)</v>
      </c>
      <c r="BB8" s="12" t="str">
        <v>Ansul</v>
      </c>
      <c r="BC8" s="12" t="str">
        <v>Okap</v>
      </c>
      <c r="BD8" s="12" t="str">
        <v>Brama garażowa</v>
      </c>
      <c r="BE8" s="12" t="str">
        <v>Żaluzje (gastro)</v>
      </c>
      <c r="BF8" s="12" t="str">
        <v>Bramki antykradzieżowe</v>
      </c>
      <c r="BG8" s="12" t="str">
        <v>Mycie jednostek klimatyzacji</v>
      </c>
    </row>
    <row r="9" spans="1:59" ht="25" customHeight="1" x14ac:dyDescent="0.35">
      <c r="A9" s="12" t="s">
        <v>8</v>
      </c>
      <c r="B9" s="1" t="s">
        <v>110</v>
      </c>
      <c r="C9" s="12" t="s">
        <v>93</v>
      </c>
      <c r="D9" s="12" t="s">
        <v>95</v>
      </c>
      <c r="E9" s="15">
        <v>46155</v>
      </c>
      <c r="F9" s="1">
        <v>12</v>
      </c>
      <c r="G9" s="4">
        <f t="shared" si="0"/>
        <v>46520</v>
      </c>
      <c r="H9" s="12" t="str">
        <f t="shared" ca="1" si="1"/>
        <v>OK</v>
      </c>
      <c r="I9" s="14"/>
      <c r="J9" s="1" t="str">
        <f>IF(COUNTA(A9:F9)=0,"",IF(I9="","BRAK PROTOKOŁU","DODANY"))</f>
        <v>BRAK PROTOKOŁU</v>
      </c>
      <c r="K9" s="46" t="s">
        <v>149</v>
      </c>
      <c r="M9" s="13" t="str" cm="1">
        <f t="array" ref="M9:AD9">IF($A9="","",IFERROR(TRANSPOSE(_xlfn._xlws.FILTER(Lokale!$C$3:$C$91,Lokale!$B$3:$B$91=$A9)),""))</f>
        <v>170 (Glamour)</v>
      </c>
      <c r="N9" s="13" t="str">
        <v>171 (Starter Dworzec)</v>
      </c>
      <c r="O9" s="13" t="str">
        <v>172 (Starter Przyloty)</v>
      </c>
      <c r="P9" s="13" t="str">
        <v>173 (LMDL2)</v>
      </c>
      <c r="Q9" s="13" t="str">
        <v>174 (Zoom NS)</v>
      </c>
      <c r="R9" s="13" t="str">
        <v>175 (Ministore NS)</v>
      </c>
      <c r="S9" s="13" t="str">
        <v>176 (Zoom odloty)</v>
      </c>
      <c r="T9" s="13" t="str">
        <v>177 (Spirit of Poland)</v>
      </c>
      <c r="U9" s="13" t="str">
        <v>178 (Multistore)</v>
      </c>
      <c r="V9" s="13" t="str">
        <v>179 (ZOOM)</v>
      </c>
      <c r="W9" s="13" t="str">
        <v>180 (Starter odloty)</v>
      </c>
      <c r="X9" s="13" t="str">
        <v>181 (Bestseller)</v>
      </c>
      <c r="Y9" s="13" t="str">
        <v>182 (Zoom palarnia)</v>
      </c>
      <c r="Z9" s="13" t="str">
        <v>183 (LMDL)</v>
      </c>
      <c r="AA9" s="13" t="str">
        <v>187 (Zoom NS)</v>
      </c>
      <c r="AB9" s="13" t="str">
        <v>208 (PIZZA)</v>
      </c>
      <c r="AC9" s="13" t="str">
        <v>532 (Magazyn)</v>
      </c>
      <c r="AD9" s="13" t="str">
        <v>Wszystkie lokale</v>
      </c>
      <c r="AJ9" s="13" t="str" cm="1">
        <f t="array" ref="AJ9:BG9">IF($C9="","",IFERROR(TRANSPOSE(_xlfn._xlws.FILTER(Listy!$D$2:$D$60,Listy!$C$2:$C$60=$C9)),""))</f>
        <v>Elektryczny (roczny)</v>
      </c>
      <c r="AK9" s="13" t="str">
        <v>Elektryczny (5-cio letni)</v>
      </c>
      <c r="AL9" s="13" t="str">
        <v>Systemy PPOŻ</v>
      </c>
      <c r="AM9" s="13" t="str">
        <v>Gaśnice</v>
      </c>
      <c r="AN9" s="13" t="str">
        <v>Klimatyzacja</v>
      </c>
      <c r="AO9" s="13" t="str">
        <v>Alarmy</v>
      </c>
      <c r="AP9" s="13" t="str">
        <v>Hydranty</v>
      </c>
      <c r="AQ9" s="13" t="str">
        <v xml:space="preserve">Rolety </v>
      </c>
      <c r="AR9" s="13" t="str">
        <v>Wentylacja</v>
      </c>
      <c r="AS9" s="13" t="str">
        <v>Wymiana filtrów</v>
      </c>
      <c r="AT9" s="13" t="str">
        <v>Regałów magazynowych</v>
      </c>
      <c r="AU9" s="13" t="str">
        <v>CRO</v>
      </c>
      <c r="AV9" s="13" t="str">
        <v>Mroźnia/Chłodnia</v>
      </c>
      <c r="AW9" s="13" t="str">
        <v>Regały chłodnicze</v>
      </c>
      <c r="AX9" s="13" t="str">
        <v>Separatory tłuszczu</v>
      </c>
      <c r="AY9" s="13" t="str">
        <v>Vendingi</v>
      </c>
      <c r="AZ9" s="13" t="str">
        <v>UDT (wózki widłowe, paleciaki)</v>
      </c>
      <c r="BA9" s="13" t="str">
        <v>BHP (drabiny, schodki, podesty)</v>
      </c>
      <c r="BB9" s="12" t="str">
        <v>Ansul</v>
      </c>
      <c r="BC9" s="12" t="str">
        <v>Okap</v>
      </c>
      <c r="BD9" s="12" t="str">
        <v>Brama garażowa</v>
      </c>
      <c r="BE9" s="12" t="str">
        <v>Żaluzje (gastro)</v>
      </c>
      <c r="BF9" s="12" t="str">
        <v>Bramki antykradzieżowe</v>
      </c>
      <c r="BG9" s="12" t="str">
        <v>Mycie jednostek klimatyzacji</v>
      </c>
    </row>
    <row r="10" spans="1:59" ht="25" customHeight="1" x14ac:dyDescent="0.35">
      <c r="A10" s="12" t="s">
        <v>17</v>
      </c>
      <c r="B10" s="1" t="s">
        <v>147</v>
      </c>
      <c r="C10" s="12" t="s">
        <v>93</v>
      </c>
      <c r="D10" s="12" t="s">
        <v>95</v>
      </c>
      <c r="E10" s="15">
        <v>46076</v>
      </c>
      <c r="F10" s="1">
        <v>12</v>
      </c>
      <c r="G10" s="4">
        <f t="shared" si="0"/>
        <v>46441</v>
      </c>
      <c r="H10" s="12" t="str">
        <f t="shared" ca="1" si="1"/>
        <v>OK</v>
      </c>
      <c r="I10" s="14"/>
      <c r="J10" s="1" t="str">
        <f t="shared" si="3"/>
        <v>BRAK PROTOKOŁU</v>
      </c>
      <c r="K10" s="46" t="s">
        <v>152</v>
      </c>
      <c r="M10" s="13" t="str" cm="1">
        <f t="array" ref="M10:S10">IF($A10="","",IFERROR(TRANSPOSE(_xlfn._xlws.FILTER(Lokale!$C$3:$C$91,Lokale!$B$3:$B$91=$A10)),""))</f>
        <v>B52 (Multistore)</v>
      </c>
      <c r="N10" s="13" t="str">
        <v>B53 (Glamour)</v>
      </c>
      <c r="O10" s="13" t="str">
        <v>BA1 (Beauty Shop)</v>
      </c>
      <c r="P10" s="13" t="str">
        <v>BA2 (Multistore)</v>
      </c>
      <c r="Q10" s="13" t="str">
        <v>B51 (Magazyn)</v>
      </c>
      <c r="R10" s="13" t="str">
        <v>284 (Cavarious)</v>
      </c>
      <c r="S10" s="13" t="str">
        <v>Wszystkie lokale</v>
      </c>
      <c r="AJ10" s="13" t="str" cm="1">
        <f t="array" ref="AJ10:BG10">IF($C10="","",IFERROR(TRANSPOSE(_xlfn._xlws.FILTER(Listy!$D$2:$D$60,Listy!$C$2:$C$60=$C10)),""))</f>
        <v>Elektryczny (roczny)</v>
      </c>
      <c r="AK10" s="13" t="str">
        <v>Elektryczny (5-cio letni)</v>
      </c>
      <c r="AL10" s="13" t="str">
        <v>Systemy PPOŻ</v>
      </c>
      <c r="AM10" s="13" t="str">
        <v>Gaśnice</v>
      </c>
      <c r="AN10" s="13" t="str">
        <v>Klimatyzacja</v>
      </c>
      <c r="AO10" s="13" t="str">
        <v>Alarmy</v>
      </c>
      <c r="AP10" s="13" t="str">
        <v>Hydranty</v>
      </c>
      <c r="AQ10" s="13" t="str">
        <v xml:space="preserve">Rolety </v>
      </c>
      <c r="AR10" s="13" t="str">
        <v>Wentylacja</v>
      </c>
      <c r="AS10" s="13" t="str">
        <v>Wymiana filtrów</v>
      </c>
      <c r="AT10" s="13" t="str">
        <v>Regałów magazynowych</v>
      </c>
      <c r="AU10" s="13" t="str">
        <v>CRO</v>
      </c>
      <c r="AV10" s="13" t="str">
        <v>Mroźnia/Chłodnia</v>
      </c>
      <c r="AW10" s="13" t="str">
        <v>Regały chłodnicze</v>
      </c>
      <c r="AX10" s="13" t="str">
        <v>Separatory tłuszczu</v>
      </c>
      <c r="AY10" s="13" t="str">
        <v>Vendingi</v>
      </c>
      <c r="AZ10" s="13" t="str">
        <v>UDT (wózki widłowe, paleciaki)</v>
      </c>
      <c r="BA10" s="13" t="str">
        <v>BHP (drabiny, schodki, podesty)</v>
      </c>
      <c r="BB10" s="12" t="str">
        <v>Ansul</v>
      </c>
      <c r="BC10" s="12" t="str">
        <v>Okap</v>
      </c>
      <c r="BD10" s="12" t="str">
        <v>Brama garażowa</v>
      </c>
      <c r="BE10" s="12" t="str">
        <v>Żaluzje (gastro)</v>
      </c>
      <c r="BF10" s="12" t="str">
        <v>Bramki antykradzieżowe</v>
      </c>
      <c r="BG10" s="12" t="str">
        <v>Mycie jednostek klimatyzacji</v>
      </c>
    </row>
    <row r="11" spans="1:59" ht="25" customHeight="1" x14ac:dyDescent="0.35">
      <c r="A11" s="12" t="s">
        <v>26</v>
      </c>
      <c r="B11" s="1" t="s">
        <v>113</v>
      </c>
      <c r="C11" s="12" t="s">
        <v>93</v>
      </c>
      <c r="D11" s="12" t="s">
        <v>95</v>
      </c>
      <c r="E11" s="15">
        <v>46104</v>
      </c>
      <c r="F11" s="1">
        <v>12</v>
      </c>
      <c r="G11" s="4">
        <f t="shared" si="0"/>
        <v>46469</v>
      </c>
      <c r="H11" s="12" t="str">
        <f t="shared" ca="1" si="1"/>
        <v>OK</v>
      </c>
      <c r="I11" s="14"/>
      <c r="J11" s="1" t="str">
        <f>IF(COUNTA(A11:F11)=0,"",IF(I11="","BRAK PROTOKOŁU","DODANY"))</f>
        <v>BRAK PROTOKOŁU</v>
      </c>
      <c r="K11" s="46" t="s">
        <v>153</v>
      </c>
      <c r="M11" s="13" t="str" cm="1">
        <f t="array" ref="M11:R11">IF($A11="","",IFERROR(TRANSPOSE(_xlfn._xlws.FILTER(Lokale!$C$3:$C$91,Lokale!$B$3:$B$91=$A11)),""))</f>
        <v>BK3 (Ministore)</v>
      </c>
      <c r="N11" s="13" t="str">
        <v>BK4 (Ministore NS)</v>
      </c>
      <c r="O11" s="13" t="str">
        <v>BK2 (Multistore)</v>
      </c>
      <c r="P11" s="13" t="str">
        <v>BK1 (Magazyn)</v>
      </c>
      <c r="Q11" s="13" t="str">
        <v>288 (Dworzec PKP)</v>
      </c>
      <c r="R11" s="13" t="str">
        <v>Wszystkie lokale</v>
      </c>
      <c r="AJ11" s="13" t="str" cm="1">
        <f t="array" ref="AJ11:BG11">IF($C11="","",IFERROR(TRANSPOSE(_xlfn._xlws.FILTER(Listy!$D$2:$D$60,Listy!$C$2:$C$60=$C11)),""))</f>
        <v>Elektryczny (roczny)</v>
      </c>
      <c r="AK11" s="13" t="str">
        <v>Elektryczny (5-cio letni)</v>
      </c>
      <c r="AL11" s="13" t="str">
        <v>Systemy PPOŻ</v>
      </c>
      <c r="AM11" s="13" t="str">
        <v>Gaśnice</v>
      </c>
      <c r="AN11" s="13" t="str">
        <v>Klimatyzacja</v>
      </c>
      <c r="AO11" s="13" t="str">
        <v>Alarmy</v>
      </c>
      <c r="AP11" s="13" t="str">
        <v>Hydranty</v>
      </c>
      <c r="AQ11" s="13" t="str">
        <v xml:space="preserve">Rolety </v>
      </c>
      <c r="AR11" s="13" t="str">
        <v>Wentylacja</v>
      </c>
      <c r="AS11" s="13" t="str">
        <v>Wymiana filtrów</v>
      </c>
      <c r="AT11" s="13" t="str">
        <v>Regałów magazynowych</v>
      </c>
      <c r="AU11" s="13" t="str">
        <v>CRO</v>
      </c>
      <c r="AV11" s="13" t="str">
        <v>Mroźnia/Chłodnia</v>
      </c>
      <c r="AW11" s="13" t="str">
        <v>Regały chłodnicze</v>
      </c>
      <c r="AX11" s="13" t="str">
        <v>Separatory tłuszczu</v>
      </c>
      <c r="AY11" s="13" t="str">
        <v>Vendingi</v>
      </c>
      <c r="AZ11" s="13" t="str">
        <v>UDT (wózki widłowe, paleciaki)</v>
      </c>
      <c r="BA11" s="13" t="str">
        <v>BHP (drabiny, schodki, podesty)</v>
      </c>
      <c r="BB11" s="12" t="str">
        <v>Ansul</v>
      </c>
      <c r="BC11" s="12" t="str">
        <v>Okap</v>
      </c>
      <c r="BD11" s="12" t="str">
        <v>Brama garażowa</v>
      </c>
      <c r="BE11" s="12" t="str">
        <v>Żaluzje (gastro)</v>
      </c>
      <c r="BF11" s="12" t="str">
        <v>Bramki antykradzieżowe</v>
      </c>
      <c r="BG11" s="12" t="str">
        <v>Mycie jednostek klimatyzacji</v>
      </c>
    </row>
    <row r="12" spans="1:59" ht="25" customHeight="1" x14ac:dyDescent="0.35">
      <c r="A12" s="12" t="s">
        <v>26</v>
      </c>
      <c r="B12" s="1" t="s">
        <v>113</v>
      </c>
      <c r="C12" s="12" t="s">
        <v>93</v>
      </c>
      <c r="D12" s="12" t="s">
        <v>95</v>
      </c>
      <c r="E12" s="15">
        <v>46070</v>
      </c>
      <c r="F12" s="1">
        <v>12</v>
      </c>
      <c r="G12" s="4">
        <f t="shared" si="0"/>
        <v>46435</v>
      </c>
      <c r="H12" s="12" t="str">
        <f t="shared" ca="1" si="1"/>
        <v>OK</v>
      </c>
      <c r="I12" s="14"/>
      <c r="J12" s="1" t="str">
        <f t="shared" si="3"/>
        <v>BRAK PROTOKOŁU</v>
      </c>
      <c r="K12" s="46" t="s">
        <v>154</v>
      </c>
      <c r="M12" s="13" t="str" cm="1">
        <f t="array" ref="M12:R12">IF($A12="","",IFERROR(TRANSPOSE(_xlfn._xlws.FILTER(Lokale!$C$3:$C$91,Lokale!$B$3:$B$91=$A12)),""))</f>
        <v>BK3 (Ministore)</v>
      </c>
      <c r="N12" s="13" t="str">
        <v>BK4 (Ministore NS)</v>
      </c>
      <c r="O12" s="13" t="str">
        <v>BK2 (Multistore)</v>
      </c>
      <c r="P12" s="13" t="str">
        <v>BK1 (Magazyn)</v>
      </c>
      <c r="Q12" s="13" t="str">
        <v>288 (Dworzec PKP)</v>
      </c>
      <c r="R12" s="13" t="str">
        <v>Wszystkie lokale</v>
      </c>
      <c r="AJ12" s="13" t="str" cm="1">
        <f t="array" ref="AJ12:BG12">IF($C12="","",IFERROR(TRANSPOSE(_xlfn._xlws.FILTER(Listy!$D$2:$D$60,Listy!$C$2:$C$60=$C12)),""))</f>
        <v>Elektryczny (roczny)</v>
      </c>
      <c r="AK12" s="13" t="str">
        <v>Elektryczny (5-cio letni)</v>
      </c>
      <c r="AL12" s="13" t="str">
        <v>Systemy PPOŻ</v>
      </c>
      <c r="AM12" s="13" t="str">
        <v>Gaśnice</v>
      </c>
      <c r="AN12" s="13" t="str">
        <v>Klimatyzacja</v>
      </c>
      <c r="AO12" s="13" t="str">
        <v>Alarmy</v>
      </c>
      <c r="AP12" s="13" t="str">
        <v>Hydranty</v>
      </c>
      <c r="AQ12" s="13" t="str">
        <v xml:space="preserve">Rolety </v>
      </c>
      <c r="AR12" s="13" t="str">
        <v>Wentylacja</v>
      </c>
      <c r="AS12" s="13" t="str">
        <v>Wymiana filtrów</v>
      </c>
      <c r="AT12" s="13" t="str">
        <v>Regałów magazynowych</v>
      </c>
      <c r="AU12" s="13" t="str">
        <v>CRO</v>
      </c>
      <c r="AV12" s="13" t="str">
        <v>Mroźnia/Chłodnia</v>
      </c>
      <c r="AW12" s="13" t="str">
        <v>Regały chłodnicze</v>
      </c>
      <c r="AX12" s="13" t="str">
        <v>Separatory tłuszczu</v>
      </c>
      <c r="AY12" s="13" t="str">
        <v>Vendingi</v>
      </c>
      <c r="AZ12" s="13" t="str">
        <v>UDT (wózki widłowe, paleciaki)</v>
      </c>
      <c r="BA12" s="13" t="str">
        <v>BHP (drabiny, schodki, podesty)</v>
      </c>
      <c r="BB12" s="12" t="str">
        <v>Ansul</v>
      </c>
      <c r="BC12" s="12" t="str">
        <v>Okap</v>
      </c>
      <c r="BD12" s="12" t="str">
        <v>Brama garażowa</v>
      </c>
      <c r="BE12" s="12" t="str">
        <v>Żaluzje (gastro)</v>
      </c>
      <c r="BF12" s="12" t="str">
        <v>Bramki antykradzieżowe</v>
      </c>
      <c r="BG12" s="12" t="str">
        <v>Mycie jednostek klimatyzacji</v>
      </c>
    </row>
    <row r="13" spans="1:59" ht="25" customHeight="1" x14ac:dyDescent="0.35">
      <c r="A13" s="12" t="s">
        <v>10</v>
      </c>
      <c r="B13" s="1" t="s">
        <v>50</v>
      </c>
      <c r="C13" s="12" t="s">
        <v>93</v>
      </c>
      <c r="D13" s="12" t="s">
        <v>86</v>
      </c>
      <c r="E13" s="15">
        <v>45568</v>
      </c>
      <c r="F13" s="1">
        <v>60</v>
      </c>
      <c r="G13" s="4">
        <f t="shared" si="0"/>
        <v>47394</v>
      </c>
      <c r="H13" s="12" t="str">
        <f t="shared" ca="1" si="1"/>
        <v>OK</v>
      </c>
      <c r="I13" s="14"/>
      <c r="J13" s="1" t="str">
        <f t="shared" si="3"/>
        <v>BRAK PROTOKOŁU</v>
      </c>
      <c r="K13" s="1"/>
      <c r="M13" s="13" t="str" cm="1">
        <f t="array" ref="M13:U13">IF($A13="","",IFERROR(TRANSPOSE(_xlfn._xlws.FILTER(Lokale!$C$3:$C$91,Lokale!$B$3:$B$91=$A13)),""))</f>
        <v>212 (Cavarious)</v>
      </c>
      <c r="N13" s="13" t="str">
        <v>211 (Travel Chef)</v>
      </c>
      <c r="O13" s="13" t="str">
        <v>213 (Cavarious NS)</v>
      </c>
      <c r="P13" s="13" t="str">
        <v>BR1 (Multistore)</v>
      </c>
      <c r="Q13" s="13" t="str">
        <v>BR2 (ZOOM)</v>
      </c>
      <c r="R13" s="13" t="str">
        <v>BR3 (Ministore)</v>
      </c>
      <c r="S13" s="13" t="str">
        <v>214 (Bistro)</v>
      </c>
      <c r="T13" s="13" t="str">
        <v>BR4 (Starter)</v>
      </c>
      <c r="U13" s="13" t="str">
        <v>Wszystkie lokale</v>
      </c>
      <c r="AJ13" s="13" t="str" cm="1">
        <f t="array" ref="AJ13:BG13">IF($C13="","",IFERROR(TRANSPOSE(_xlfn._xlws.FILTER(Listy!$D$2:$D$60,Listy!$C$2:$C$60=$C13)),""))</f>
        <v>Elektryczny (roczny)</v>
      </c>
      <c r="AK13" s="13" t="str">
        <v>Elektryczny (5-cio letni)</v>
      </c>
      <c r="AL13" s="13" t="str">
        <v>Systemy PPOŻ</v>
      </c>
      <c r="AM13" s="13" t="str">
        <v>Gaśnice</v>
      </c>
      <c r="AN13" s="13" t="str">
        <v>Klimatyzacja</v>
      </c>
      <c r="AO13" s="13" t="str">
        <v>Alarmy</v>
      </c>
      <c r="AP13" s="13" t="str">
        <v>Hydranty</v>
      </c>
      <c r="AQ13" s="13" t="str">
        <v xml:space="preserve">Rolety </v>
      </c>
      <c r="AR13" s="13" t="str">
        <v>Wentylacja</v>
      </c>
      <c r="AS13" s="13" t="str">
        <v>Wymiana filtrów</v>
      </c>
      <c r="AT13" s="13" t="str">
        <v>Regałów magazynowych</v>
      </c>
      <c r="AU13" s="13" t="str">
        <v>CRO</v>
      </c>
      <c r="AV13" s="13" t="str">
        <v>Mroźnia/Chłodnia</v>
      </c>
      <c r="AW13" s="13" t="str">
        <v>Regały chłodnicze</v>
      </c>
      <c r="AX13" s="13" t="str">
        <v>Separatory tłuszczu</v>
      </c>
      <c r="AY13" s="13" t="str">
        <v>Vendingi</v>
      </c>
      <c r="AZ13" s="13" t="str">
        <v>UDT (wózki widłowe, paleciaki)</v>
      </c>
      <c r="BA13" s="13" t="str">
        <v>BHP (drabiny, schodki, podesty)</v>
      </c>
      <c r="BB13" s="12" t="str">
        <v>Ansul</v>
      </c>
      <c r="BC13" s="12" t="str">
        <v>Okap</v>
      </c>
      <c r="BD13" s="12" t="str">
        <v>Brama garażowa</v>
      </c>
      <c r="BE13" s="12" t="str">
        <v>Żaluzje (gastro)</v>
      </c>
      <c r="BF13" s="12" t="str">
        <v>Bramki antykradzieżowe</v>
      </c>
      <c r="BG13" s="12" t="str">
        <v>Mycie jednostek klimatyzacji</v>
      </c>
    </row>
    <row r="14" spans="1:59" ht="25" customHeight="1" x14ac:dyDescent="0.35">
      <c r="A14" s="12" t="s">
        <v>10</v>
      </c>
      <c r="B14" s="1" t="s">
        <v>53</v>
      </c>
      <c r="C14" s="12" t="s">
        <v>93</v>
      </c>
      <c r="D14" s="12" t="s">
        <v>86</v>
      </c>
      <c r="E14" s="15">
        <v>45568</v>
      </c>
      <c r="F14" s="1">
        <v>60</v>
      </c>
      <c r="G14" s="4">
        <f t="shared" ref="G14:G86" si="4">IF(OR(E14="",F14=""),"",DATE(YEAR(E14),MONTH(E14)+F14,DAY(E14)))</f>
        <v>47394</v>
      </c>
      <c r="H14" s="12" t="str">
        <f t="shared" ca="1" si="1"/>
        <v>OK</v>
      </c>
      <c r="I14" s="14"/>
      <c r="J14" s="1" t="str">
        <f t="shared" si="3"/>
        <v>BRAK PROTOKOŁU</v>
      </c>
      <c r="K14" s="1"/>
      <c r="M14" s="13" t="str" cm="1">
        <f t="array" ref="M14:U14">IF($A14="","",IFERROR(TRANSPOSE(_xlfn._xlws.FILTER(Lokale!$C$3:$C$91,Lokale!$B$3:$B$91=$A14)),""))</f>
        <v>212 (Cavarious)</v>
      </c>
      <c r="N14" s="13" t="str">
        <v>211 (Travel Chef)</v>
      </c>
      <c r="O14" s="13" t="str">
        <v>213 (Cavarious NS)</v>
      </c>
      <c r="P14" s="13" t="str">
        <v>BR1 (Multistore)</v>
      </c>
      <c r="Q14" s="13" t="str">
        <v>BR2 (ZOOM)</v>
      </c>
      <c r="R14" s="13" t="str">
        <v>BR3 (Ministore)</v>
      </c>
      <c r="S14" s="13" t="str">
        <v>214 (Bistro)</v>
      </c>
      <c r="T14" s="13" t="str">
        <v>BR4 (Starter)</v>
      </c>
      <c r="U14" s="13" t="str">
        <v>Wszystkie lokale</v>
      </c>
      <c r="AJ14" s="13" t="str" cm="1">
        <f t="array" ref="AJ14:BG14">IF($C14="","",IFERROR(TRANSPOSE(_xlfn._xlws.FILTER(Listy!$D$2:$D$60,Listy!$C$2:$C$60=$C14)),""))</f>
        <v>Elektryczny (roczny)</v>
      </c>
      <c r="AK14" s="13" t="str">
        <v>Elektryczny (5-cio letni)</v>
      </c>
      <c r="AL14" s="13" t="str">
        <v>Systemy PPOŻ</v>
      </c>
      <c r="AM14" s="13" t="str">
        <v>Gaśnice</v>
      </c>
      <c r="AN14" s="13" t="str">
        <v>Klimatyzacja</v>
      </c>
      <c r="AO14" s="13" t="str">
        <v>Alarmy</v>
      </c>
      <c r="AP14" s="13" t="str">
        <v>Hydranty</v>
      </c>
      <c r="AQ14" s="13" t="str">
        <v xml:space="preserve">Rolety </v>
      </c>
      <c r="AR14" s="13" t="str">
        <v>Wentylacja</v>
      </c>
      <c r="AS14" s="13" t="str">
        <v>Wymiana filtrów</v>
      </c>
      <c r="AT14" s="13" t="str">
        <v>Regałów magazynowych</v>
      </c>
      <c r="AU14" s="13" t="str">
        <v>CRO</v>
      </c>
      <c r="AV14" s="13" t="str">
        <v>Mroźnia/Chłodnia</v>
      </c>
      <c r="AW14" s="13" t="str">
        <v>Regały chłodnicze</v>
      </c>
      <c r="AX14" s="13" t="str">
        <v>Separatory tłuszczu</v>
      </c>
      <c r="AY14" s="13" t="str">
        <v>Vendingi</v>
      </c>
      <c r="AZ14" s="13" t="str">
        <v>UDT (wózki widłowe, paleciaki)</v>
      </c>
      <c r="BA14" s="13" t="str">
        <v>BHP (drabiny, schodki, podesty)</v>
      </c>
      <c r="BB14" s="12" t="str">
        <v>Ansul</v>
      </c>
      <c r="BC14" s="12" t="str">
        <v>Okap</v>
      </c>
      <c r="BD14" s="12" t="str">
        <v>Brama garażowa</v>
      </c>
      <c r="BE14" s="12" t="str">
        <v>Żaluzje (gastro)</v>
      </c>
      <c r="BF14" s="12" t="str">
        <v>Bramki antykradzieżowe</v>
      </c>
      <c r="BG14" s="12" t="str">
        <v>Mycie jednostek klimatyzacji</v>
      </c>
    </row>
    <row r="15" spans="1:59" ht="25" customHeight="1" x14ac:dyDescent="0.35">
      <c r="A15" s="12" t="s">
        <v>10</v>
      </c>
      <c r="B15" s="1" t="s">
        <v>54</v>
      </c>
      <c r="C15" s="12" t="s">
        <v>93</v>
      </c>
      <c r="D15" s="12" t="s">
        <v>86</v>
      </c>
      <c r="E15" s="15">
        <v>45568</v>
      </c>
      <c r="F15" s="1">
        <v>60</v>
      </c>
      <c r="G15" s="4">
        <f t="shared" si="4"/>
        <v>47394</v>
      </c>
      <c r="H15" s="12" t="str">
        <f t="shared" ca="1" si="1"/>
        <v>OK</v>
      </c>
      <c r="I15" s="14"/>
      <c r="J15" s="1" t="str">
        <f t="shared" si="3"/>
        <v>BRAK PROTOKOŁU</v>
      </c>
      <c r="K15" s="1"/>
      <c r="M15" s="13" t="str" cm="1">
        <f t="array" ref="M15:U15">IF($A15="","",IFERROR(TRANSPOSE(_xlfn._xlws.FILTER(Lokale!$C$3:$C$91,Lokale!$B$3:$B$91=$A15)),""))</f>
        <v>212 (Cavarious)</v>
      </c>
      <c r="N15" s="13" t="str">
        <v>211 (Travel Chef)</v>
      </c>
      <c r="O15" s="13" t="str">
        <v>213 (Cavarious NS)</v>
      </c>
      <c r="P15" s="13" t="str">
        <v>BR1 (Multistore)</v>
      </c>
      <c r="Q15" s="13" t="str">
        <v>BR2 (ZOOM)</v>
      </c>
      <c r="R15" s="13" t="str">
        <v>BR3 (Ministore)</v>
      </c>
      <c r="S15" s="13" t="str">
        <v>214 (Bistro)</v>
      </c>
      <c r="T15" s="13" t="str">
        <v>BR4 (Starter)</v>
      </c>
      <c r="U15" s="13" t="str">
        <v>Wszystkie lokale</v>
      </c>
      <c r="AJ15" s="13" t="str" cm="1">
        <f t="array" ref="AJ15:BG15">IF($C15="","",IFERROR(TRANSPOSE(_xlfn._xlws.FILTER(Listy!$D$2:$D$60,Listy!$C$2:$C$60=$C15)),""))</f>
        <v>Elektryczny (roczny)</v>
      </c>
      <c r="AK15" s="13" t="str">
        <v>Elektryczny (5-cio letni)</v>
      </c>
      <c r="AL15" s="13" t="str">
        <v>Systemy PPOŻ</v>
      </c>
      <c r="AM15" s="13" t="str">
        <v>Gaśnice</v>
      </c>
      <c r="AN15" s="13" t="str">
        <v>Klimatyzacja</v>
      </c>
      <c r="AO15" s="13" t="str">
        <v>Alarmy</v>
      </c>
      <c r="AP15" s="13" t="str">
        <v>Hydranty</v>
      </c>
      <c r="AQ15" s="13" t="str">
        <v xml:space="preserve">Rolety </v>
      </c>
      <c r="AR15" s="13" t="str">
        <v>Wentylacja</v>
      </c>
      <c r="AS15" s="13" t="str">
        <v>Wymiana filtrów</v>
      </c>
      <c r="AT15" s="13" t="str">
        <v>Regałów magazynowych</v>
      </c>
      <c r="AU15" s="13" t="str">
        <v>CRO</v>
      </c>
      <c r="AV15" s="13" t="str">
        <v>Mroźnia/Chłodnia</v>
      </c>
      <c r="AW15" s="13" t="str">
        <v>Regały chłodnicze</v>
      </c>
      <c r="AX15" s="13" t="str">
        <v>Separatory tłuszczu</v>
      </c>
      <c r="AY15" s="13" t="str">
        <v>Vendingi</v>
      </c>
      <c r="AZ15" s="13" t="str">
        <v>UDT (wózki widłowe, paleciaki)</v>
      </c>
      <c r="BA15" s="13" t="str">
        <v>BHP (drabiny, schodki, podesty)</v>
      </c>
      <c r="BB15" s="12" t="str">
        <v>Ansul</v>
      </c>
      <c r="BC15" s="12" t="str">
        <v>Okap</v>
      </c>
      <c r="BD15" s="12" t="str">
        <v>Brama garażowa</v>
      </c>
      <c r="BE15" s="12" t="str">
        <v>Żaluzje (gastro)</v>
      </c>
      <c r="BF15" s="12" t="str">
        <v>Bramki antykradzieżowe</v>
      </c>
      <c r="BG15" s="12" t="str">
        <v>Mycie jednostek klimatyzacji</v>
      </c>
    </row>
    <row r="16" spans="1:59" ht="25" customHeight="1" x14ac:dyDescent="0.35">
      <c r="A16" s="12" t="s">
        <v>10</v>
      </c>
      <c r="B16" s="1" t="s">
        <v>55</v>
      </c>
      <c r="C16" s="12" t="s">
        <v>93</v>
      </c>
      <c r="D16" s="12" t="s">
        <v>86</v>
      </c>
      <c r="E16" s="15">
        <v>45568</v>
      </c>
      <c r="F16" s="1">
        <v>60</v>
      </c>
      <c r="G16" s="4">
        <f t="shared" si="4"/>
        <v>47394</v>
      </c>
      <c r="H16" s="12" t="str">
        <f t="shared" ca="1" si="1"/>
        <v>OK</v>
      </c>
      <c r="I16" s="14"/>
      <c r="J16" s="1" t="str">
        <f t="shared" si="3"/>
        <v>BRAK PROTOKOŁU</v>
      </c>
      <c r="K16" s="1"/>
      <c r="M16" s="13" t="str" cm="1">
        <f t="array" ref="M16:U16">IF($A16="","",IFERROR(TRANSPOSE(_xlfn._xlws.FILTER(Lokale!$C$3:$C$91,Lokale!$B$3:$B$91=$A16)),""))</f>
        <v>212 (Cavarious)</v>
      </c>
      <c r="N16" s="13" t="str">
        <v>211 (Travel Chef)</v>
      </c>
      <c r="O16" s="13" t="str">
        <v>213 (Cavarious NS)</v>
      </c>
      <c r="P16" s="13" t="str">
        <v>BR1 (Multistore)</v>
      </c>
      <c r="Q16" s="13" t="str">
        <v>BR2 (ZOOM)</v>
      </c>
      <c r="R16" s="13" t="str">
        <v>BR3 (Ministore)</v>
      </c>
      <c r="S16" s="13" t="str">
        <v>214 (Bistro)</v>
      </c>
      <c r="T16" s="13" t="str">
        <v>BR4 (Starter)</v>
      </c>
      <c r="U16" s="13" t="str">
        <v>Wszystkie lokale</v>
      </c>
      <c r="AJ16" s="13" t="str" cm="1">
        <f t="array" ref="AJ16:BG16">IF($C16="","",IFERROR(TRANSPOSE(_xlfn._xlws.FILTER(Listy!$D$2:$D$60,Listy!$C$2:$C$60=$C16)),""))</f>
        <v>Elektryczny (roczny)</v>
      </c>
      <c r="AK16" s="13" t="str">
        <v>Elektryczny (5-cio letni)</v>
      </c>
      <c r="AL16" s="13" t="str">
        <v>Systemy PPOŻ</v>
      </c>
      <c r="AM16" s="13" t="str">
        <v>Gaśnice</v>
      </c>
      <c r="AN16" s="13" t="str">
        <v>Klimatyzacja</v>
      </c>
      <c r="AO16" s="13" t="str">
        <v>Alarmy</v>
      </c>
      <c r="AP16" s="13" t="str">
        <v>Hydranty</v>
      </c>
      <c r="AQ16" s="13" t="str">
        <v xml:space="preserve">Rolety </v>
      </c>
      <c r="AR16" s="13" t="str">
        <v>Wentylacja</v>
      </c>
      <c r="AS16" s="13" t="str">
        <v>Wymiana filtrów</v>
      </c>
      <c r="AT16" s="13" t="str">
        <v>Regałów magazynowych</v>
      </c>
      <c r="AU16" s="13" t="str">
        <v>CRO</v>
      </c>
      <c r="AV16" s="13" t="str">
        <v>Mroźnia/Chłodnia</v>
      </c>
      <c r="AW16" s="13" t="str">
        <v>Regały chłodnicze</v>
      </c>
      <c r="AX16" s="13" t="str">
        <v>Separatory tłuszczu</v>
      </c>
      <c r="AY16" s="13" t="str">
        <v>Vendingi</v>
      </c>
      <c r="AZ16" s="13" t="str">
        <v>UDT (wózki widłowe, paleciaki)</v>
      </c>
      <c r="BA16" s="13" t="str">
        <v>BHP (drabiny, schodki, podesty)</v>
      </c>
      <c r="BB16" s="12" t="str">
        <v>Ansul</v>
      </c>
      <c r="BC16" s="12" t="str">
        <v>Okap</v>
      </c>
      <c r="BD16" s="12" t="str">
        <v>Brama garażowa</v>
      </c>
      <c r="BE16" s="12" t="str">
        <v>Żaluzje (gastro)</v>
      </c>
      <c r="BF16" s="12" t="str">
        <v>Bramki antykradzieżowe</v>
      </c>
      <c r="BG16" s="12" t="str">
        <v>Mycie jednostek klimatyzacji</v>
      </c>
    </row>
    <row r="17" spans="1:59" ht="25" customHeight="1" x14ac:dyDescent="0.35">
      <c r="A17" s="12" t="s">
        <v>10</v>
      </c>
      <c r="B17" s="1" t="s">
        <v>51</v>
      </c>
      <c r="C17" s="12" t="s">
        <v>93</v>
      </c>
      <c r="D17" s="12" t="s">
        <v>86</v>
      </c>
      <c r="E17" s="15">
        <v>45568</v>
      </c>
      <c r="F17" s="1">
        <v>60</v>
      </c>
      <c r="G17" s="4">
        <f t="shared" si="4"/>
        <v>47394</v>
      </c>
      <c r="H17" s="12" t="str">
        <f t="shared" ca="1" si="1"/>
        <v>OK</v>
      </c>
      <c r="I17" s="14"/>
      <c r="J17" s="1" t="str">
        <f t="shared" si="3"/>
        <v>BRAK PROTOKOŁU</v>
      </c>
      <c r="K17" s="1"/>
      <c r="M17" s="13" t="str" cm="1">
        <f t="array" ref="M17:U17">IF($A17="","",IFERROR(TRANSPOSE(_xlfn._xlws.FILTER(Lokale!$C$3:$C$91,Lokale!$B$3:$B$91=$A17)),""))</f>
        <v>212 (Cavarious)</v>
      </c>
      <c r="N17" s="13" t="str">
        <v>211 (Travel Chef)</v>
      </c>
      <c r="O17" s="13" t="str">
        <v>213 (Cavarious NS)</v>
      </c>
      <c r="P17" s="13" t="str">
        <v>BR1 (Multistore)</v>
      </c>
      <c r="Q17" s="13" t="str">
        <v>BR2 (ZOOM)</v>
      </c>
      <c r="R17" s="13" t="str">
        <v>BR3 (Ministore)</v>
      </c>
      <c r="S17" s="13" t="str">
        <v>214 (Bistro)</v>
      </c>
      <c r="T17" s="13" t="str">
        <v>BR4 (Starter)</v>
      </c>
      <c r="U17" s="13" t="str">
        <v>Wszystkie lokale</v>
      </c>
      <c r="AJ17" s="13" t="str" cm="1">
        <f t="array" ref="AJ17:BG17">IF($C17="","",IFERROR(TRANSPOSE(_xlfn._xlws.FILTER(Listy!$D$2:$D$60,Listy!$C$2:$C$60=$C17)),""))</f>
        <v>Elektryczny (roczny)</v>
      </c>
      <c r="AK17" s="13" t="str">
        <v>Elektryczny (5-cio letni)</v>
      </c>
      <c r="AL17" s="13" t="str">
        <v>Systemy PPOŻ</v>
      </c>
      <c r="AM17" s="13" t="str">
        <v>Gaśnice</v>
      </c>
      <c r="AN17" s="13" t="str">
        <v>Klimatyzacja</v>
      </c>
      <c r="AO17" s="13" t="str">
        <v>Alarmy</v>
      </c>
      <c r="AP17" s="13" t="str">
        <v>Hydranty</v>
      </c>
      <c r="AQ17" s="13" t="str">
        <v xml:space="preserve">Rolety </v>
      </c>
      <c r="AR17" s="13" t="str">
        <v>Wentylacja</v>
      </c>
      <c r="AS17" s="13" t="str">
        <v>Wymiana filtrów</v>
      </c>
      <c r="AT17" s="13" t="str">
        <v>Regałów magazynowych</v>
      </c>
      <c r="AU17" s="13" t="str">
        <v>CRO</v>
      </c>
      <c r="AV17" s="13" t="str">
        <v>Mroźnia/Chłodnia</v>
      </c>
      <c r="AW17" s="13" t="str">
        <v>Regały chłodnicze</v>
      </c>
      <c r="AX17" s="13" t="str">
        <v>Separatory tłuszczu</v>
      </c>
      <c r="AY17" s="13" t="str">
        <v>Vendingi</v>
      </c>
      <c r="AZ17" s="13" t="str">
        <v>UDT (wózki widłowe, paleciaki)</v>
      </c>
      <c r="BA17" s="13" t="str">
        <v>BHP (drabiny, schodki, podesty)</v>
      </c>
      <c r="BB17" s="12" t="str">
        <v>Ansul</v>
      </c>
      <c r="BC17" s="12" t="str">
        <v>Okap</v>
      </c>
      <c r="BD17" s="12" t="str">
        <v>Brama garażowa</v>
      </c>
      <c r="BE17" s="12" t="str">
        <v>Żaluzje (gastro)</v>
      </c>
      <c r="BF17" s="12" t="str">
        <v>Bramki antykradzieżowe</v>
      </c>
      <c r="BG17" s="12" t="str">
        <v>Mycie jednostek klimatyzacji</v>
      </c>
    </row>
    <row r="18" spans="1:59" ht="25" customHeight="1" x14ac:dyDescent="0.35">
      <c r="A18" s="12" t="s">
        <v>10</v>
      </c>
      <c r="B18" s="1" t="s">
        <v>56</v>
      </c>
      <c r="C18" s="12" t="s">
        <v>93</v>
      </c>
      <c r="D18" s="12" t="s">
        <v>86</v>
      </c>
      <c r="E18" s="15">
        <v>45568</v>
      </c>
      <c r="F18" s="1">
        <v>60</v>
      </c>
      <c r="G18" s="4">
        <f t="shared" si="4"/>
        <v>47394</v>
      </c>
      <c r="H18" s="12" t="str">
        <f t="shared" ca="1" si="1"/>
        <v>OK</v>
      </c>
      <c r="I18" s="14"/>
      <c r="J18" s="1" t="str">
        <f t="shared" si="3"/>
        <v>BRAK PROTOKOŁU</v>
      </c>
      <c r="K18" s="1"/>
      <c r="M18" s="13" t="str" cm="1">
        <f t="array" ref="M18:U18">IF($A18="","",IFERROR(TRANSPOSE(_xlfn._xlws.FILTER(Lokale!$C$3:$C$91,Lokale!$B$3:$B$91=$A18)),""))</f>
        <v>212 (Cavarious)</v>
      </c>
      <c r="N18" s="13" t="str">
        <v>211 (Travel Chef)</v>
      </c>
      <c r="O18" s="13" t="str">
        <v>213 (Cavarious NS)</v>
      </c>
      <c r="P18" s="13" t="str">
        <v>BR1 (Multistore)</v>
      </c>
      <c r="Q18" s="13" t="str">
        <v>BR2 (ZOOM)</v>
      </c>
      <c r="R18" s="13" t="str">
        <v>BR3 (Ministore)</v>
      </c>
      <c r="S18" s="13" t="str">
        <v>214 (Bistro)</v>
      </c>
      <c r="T18" s="13" t="str">
        <v>BR4 (Starter)</v>
      </c>
      <c r="U18" s="13" t="str">
        <v>Wszystkie lokale</v>
      </c>
      <c r="AJ18" s="13" t="str" cm="1">
        <f t="array" ref="AJ18:BG18">IF($C18="","",IFERROR(TRANSPOSE(_xlfn._xlws.FILTER(Listy!$D$2:$D$60,Listy!$C$2:$C$60=$C18)),""))</f>
        <v>Elektryczny (roczny)</v>
      </c>
      <c r="AK18" s="13" t="str">
        <v>Elektryczny (5-cio letni)</v>
      </c>
      <c r="AL18" s="13" t="str">
        <v>Systemy PPOŻ</v>
      </c>
      <c r="AM18" s="13" t="str">
        <v>Gaśnice</v>
      </c>
      <c r="AN18" s="13" t="str">
        <v>Klimatyzacja</v>
      </c>
      <c r="AO18" s="13" t="str">
        <v>Alarmy</v>
      </c>
      <c r="AP18" s="13" t="str">
        <v>Hydranty</v>
      </c>
      <c r="AQ18" s="13" t="str">
        <v xml:space="preserve">Rolety </v>
      </c>
      <c r="AR18" s="13" t="str">
        <v>Wentylacja</v>
      </c>
      <c r="AS18" s="13" t="str">
        <v>Wymiana filtrów</v>
      </c>
      <c r="AT18" s="13" t="str">
        <v>Regałów magazynowych</v>
      </c>
      <c r="AU18" s="13" t="str">
        <v>CRO</v>
      </c>
      <c r="AV18" s="13" t="str">
        <v>Mroźnia/Chłodnia</v>
      </c>
      <c r="AW18" s="13" t="str">
        <v>Regały chłodnicze</v>
      </c>
      <c r="AX18" s="13" t="str">
        <v>Separatory tłuszczu</v>
      </c>
      <c r="AY18" s="13" t="str">
        <v>Vendingi</v>
      </c>
      <c r="AZ18" s="13" t="str">
        <v>UDT (wózki widłowe, paleciaki)</v>
      </c>
      <c r="BA18" s="13" t="str">
        <v>BHP (drabiny, schodki, podesty)</v>
      </c>
      <c r="BB18" s="12" t="str">
        <v>Ansul</v>
      </c>
      <c r="BC18" s="12" t="str">
        <v>Okap</v>
      </c>
      <c r="BD18" s="12" t="str">
        <v>Brama garażowa</v>
      </c>
      <c r="BE18" s="12" t="str">
        <v>Żaluzje (gastro)</v>
      </c>
      <c r="BF18" s="12" t="str">
        <v>Bramki antykradzieżowe</v>
      </c>
      <c r="BG18" s="12" t="str">
        <v>Mycie jednostek klimatyzacji</v>
      </c>
    </row>
    <row r="19" spans="1:59" ht="25" customHeight="1" x14ac:dyDescent="0.35">
      <c r="B19" s="1"/>
      <c r="E19" s="15"/>
      <c r="F19" s="1"/>
      <c r="G19" s="4" t="str">
        <f t="shared" ref="G19:G26" si="5">IF(OR(E19="",F19=""),"",DATE(YEAR(E19),MONTH(E19)+F19,DAY(E19)))</f>
        <v/>
      </c>
      <c r="H19" s="12" t="str">
        <f t="shared" ref="H19:H26" ca="1" si="6">IF(G19="","",IF(G19&lt;TODAY(),"PO TERMINIE",IF(G19&lt;=TODAY()+14,"DO WYKONANIA","OK")))</f>
        <v/>
      </c>
      <c r="I19" s="14"/>
      <c r="J19" s="1" t="e">
        <f>IF(COUNTA(A19:F183)=0,"",IF(#REF!="","BRAK PROTOKOŁU","DODANY"))</f>
        <v>#REF!</v>
      </c>
      <c r="K19" s="1"/>
      <c r="M19" s="13" t="str" cm="1">
        <f t="array" ref="M19">IF($A19="","",IFERROR(TRANSPOSE(_xlfn._xlws.FILTER(Lokale!$C$3:$C$91,Lokale!$B$3:$B$91=$A19)),""))</f>
        <v/>
      </c>
      <c r="AJ19" s="13" t="str" cm="1">
        <f t="array" ref="AJ19">IF($C19="","",IFERROR(TRANSPOSE(_xlfn._xlws.FILTER(Listy!$D$2:$D$60,Listy!$C$2:$C$60=$C19)),""))</f>
        <v/>
      </c>
    </row>
    <row r="20" spans="1:59" ht="25" customHeight="1" x14ac:dyDescent="0.35">
      <c r="A20" s="12" t="s">
        <v>8</v>
      </c>
      <c r="B20" s="1" t="s">
        <v>161</v>
      </c>
      <c r="C20" s="12" t="s">
        <v>93</v>
      </c>
      <c r="D20" s="12" t="s">
        <v>85</v>
      </c>
      <c r="E20" s="15">
        <v>46162</v>
      </c>
      <c r="F20" s="1">
        <v>12</v>
      </c>
      <c r="G20" s="4">
        <f t="shared" si="5"/>
        <v>46527</v>
      </c>
      <c r="H20" s="12" t="str">
        <f t="shared" ca="1" si="6"/>
        <v>OK</v>
      </c>
      <c r="I20" s="14"/>
      <c r="J20" s="1" t="e">
        <f>IF(COUNTA(A20:F183)=0,"",IF(#REF!="","BRAK PROTOKOŁU","DODANY"))</f>
        <v>#REF!</v>
      </c>
      <c r="K20" s="1"/>
      <c r="M20" s="13" t="str" cm="1">
        <f t="array" ref="M20:AD20">IF($A20="","",IFERROR(TRANSPOSE(_xlfn._xlws.FILTER(Lokale!$C$3:$C$91,Lokale!$B$3:$B$91=$A20)),""))</f>
        <v>170 (Glamour)</v>
      </c>
      <c r="N20" s="13" t="str">
        <v>171 (Starter Dworzec)</v>
      </c>
      <c r="O20" s="13" t="str">
        <v>172 (Starter Przyloty)</v>
      </c>
      <c r="P20" s="13" t="str">
        <v>173 (LMDL2)</v>
      </c>
      <c r="Q20" s="13" t="str">
        <v>174 (Zoom NS)</v>
      </c>
      <c r="R20" s="13" t="str">
        <v>175 (Ministore NS)</v>
      </c>
      <c r="S20" s="13" t="str">
        <v>176 (Zoom odloty)</v>
      </c>
      <c r="T20" s="13" t="str">
        <v>177 (Spirit of Poland)</v>
      </c>
      <c r="U20" s="13" t="str">
        <v>178 (Multistore)</v>
      </c>
      <c r="V20" s="13" t="str">
        <v>179 (ZOOM)</v>
      </c>
      <c r="W20" s="13" t="str">
        <v>180 (Starter odloty)</v>
      </c>
      <c r="X20" s="13" t="str">
        <v>181 (Bestseller)</v>
      </c>
      <c r="Y20" s="13" t="str">
        <v>182 (Zoom palarnia)</v>
      </c>
      <c r="Z20" s="13" t="str">
        <v>183 (LMDL)</v>
      </c>
      <c r="AA20" s="13" t="str">
        <v>187 (Zoom NS)</v>
      </c>
      <c r="AB20" s="13" t="str">
        <v>208 (PIZZA)</v>
      </c>
      <c r="AC20" s="13" t="str">
        <v>532 (Magazyn)</v>
      </c>
      <c r="AD20" s="13" t="str">
        <v>Wszystkie lokale</v>
      </c>
      <c r="AJ20" s="13" t="str" cm="1">
        <f t="array" ref="AJ20:BG20">IF($C20="","",IFERROR(TRANSPOSE(_xlfn._xlws.FILTER(Listy!$D$2:$D$60,Listy!$C$2:$C$60=$C20)),""))</f>
        <v>Elektryczny (roczny)</v>
      </c>
      <c r="AK20" s="13" t="str">
        <v>Elektryczny (5-cio letni)</v>
      </c>
      <c r="AL20" s="13" t="str">
        <v>Systemy PPOŻ</v>
      </c>
      <c r="AM20" s="13" t="str">
        <v>Gaśnice</v>
      </c>
      <c r="AN20" s="13" t="str">
        <v>Klimatyzacja</v>
      </c>
      <c r="AO20" s="13" t="str">
        <v>Alarmy</v>
      </c>
      <c r="AP20" s="13" t="str">
        <v>Hydranty</v>
      </c>
      <c r="AQ20" s="13" t="str">
        <v xml:space="preserve">Rolety </v>
      </c>
      <c r="AR20" s="13" t="str">
        <v>Wentylacja</v>
      </c>
      <c r="AS20" s="13" t="str">
        <v>Wymiana filtrów</v>
      </c>
      <c r="AT20" s="13" t="str">
        <v>Regałów magazynowych</v>
      </c>
      <c r="AU20" s="13" t="str">
        <v>CRO</v>
      </c>
      <c r="AV20" s="13" t="str">
        <v>Mroźnia/Chłodnia</v>
      </c>
      <c r="AW20" s="13" t="str">
        <v>Regały chłodnicze</v>
      </c>
      <c r="AX20" s="13" t="str">
        <v>Separatory tłuszczu</v>
      </c>
      <c r="AY20" s="13" t="str">
        <v>Vendingi</v>
      </c>
      <c r="AZ20" s="13" t="str">
        <v>UDT (wózki widłowe, paleciaki)</v>
      </c>
      <c r="BA20" s="13" t="str">
        <v>BHP (drabiny, schodki, podesty)</v>
      </c>
      <c r="BB20" s="12" t="str">
        <v>Ansul</v>
      </c>
      <c r="BC20" s="12" t="str">
        <v>Okap</v>
      </c>
      <c r="BD20" s="12" t="str">
        <v>Brama garażowa</v>
      </c>
      <c r="BE20" s="12" t="str">
        <v>Żaluzje (gastro)</v>
      </c>
      <c r="BF20" s="12" t="str">
        <v>Bramki antykradzieżowe</v>
      </c>
      <c r="BG20" s="12" t="str">
        <v>Mycie jednostek klimatyzacji</v>
      </c>
    </row>
    <row r="21" spans="1:59" ht="25" customHeight="1" x14ac:dyDescent="0.35">
      <c r="A21" s="12" t="s">
        <v>8</v>
      </c>
      <c r="B21" s="1" t="s">
        <v>161</v>
      </c>
      <c r="C21" s="12" t="s">
        <v>93</v>
      </c>
      <c r="D21" s="12" t="s">
        <v>86</v>
      </c>
      <c r="E21" s="15">
        <v>45432</v>
      </c>
      <c r="F21" s="1">
        <v>60</v>
      </c>
      <c r="G21" s="4">
        <f t="shared" si="5"/>
        <v>47258</v>
      </c>
      <c r="H21" s="12" t="str">
        <f t="shared" ca="1" si="6"/>
        <v>OK</v>
      </c>
      <c r="I21" s="14"/>
      <c r="J21" s="1" t="e">
        <f>IF(COUNTA(A21:F183)=0,"",IF(#REF!="","BRAK PROTOKOŁU","DODANY"))</f>
        <v>#REF!</v>
      </c>
      <c r="K21" s="1"/>
      <c r="M21" s="13" t="str" cm="1">
        <f t="array" ref="M21:AD21">IF($A21="","",IFERROR(TRANSPOSE(_xlfn._xlws.FILTER(Lokale!$C$3:$C$91,Lokale!$B$3:$B$91=$A21)),""))</f>
        <v>170 (Glamour)</v>
      </c>
      <c r="N21" s="13" t="str">
        <v>171 (Starter Dworzec)</v>
      </c>
      <c r="O21" s="13" t="str">
        <v>172 (Starter Przyloty)</v>
      </c>
      <c r="P21" s="13" t="str">
        <v>173 (LMDL2)</v>
      </c>
      <c r="Q21" s="13" t="str">
        <v>174 (Zoom NS)</v>
      </c>
      <c r="R21" s="13" t="str">
        <v>175 (Ministore NS)</v>
      </c>
      <c r="S21" s="13" t="str">
        <v>176 (Zoom odloty)</v>
      </c>
      <c r="T21" s="13" t="str">
        <v>177 (Spirit of Poland)</v>
      </c>
      <c r="U21" s="13" t="str">
        <v>178 (Multistore)</v>
      </c>
      <c r="V21" s="13" t="str">
        <v>179 (ZOOM)</v>
      </c>
      <c r="W21" s="13" t="str">
        <v>180 (Starter odloty)</v>
      </c>
      <c r="X21" s="13" t="str">
        <v>181 (Bestseller)</v>
      </c>
      <c r="Y21" s="13" t="str">
        <v>182 (Zoom palarnia)</v>
      </c>
      <c r="Z21" s="13" t="str">
        <v>183 (LMDL)</v>
      </c>
      <c r="AA21" s="13" t="str">
        <v>187 (Zoom NS)</v>
      </c>
      <c r="AB21" s="13" t="str">
        <v>208 (PIZZA)</v>
      </c>
      <c r="AC21" s="13" t="str">
        <v>532 (Magazyn)</v>
      </c>
      <c r="AD21" s="13" t="str">
        <v>Wszystkie lokale</v>
      </c>
      <c r="AJ21" s="13" t="str" cm="1">
        <f t="array" ref="AJ21:BG21">IF($C21="","",IFERROR(TRANSPOSE(_xlfn._xlws.FILTER(Listy!$D$2:$D$60,Listy!$C$2:$C$60=$C21)),""))</f>
        <v>Elektryczny (roczny)</v>
      </c>
      <c r="AK21" s="13" t="str">
        <v>Elektryczny (5-cio letni)</v>
      </c>
      <c r="AL21" s="13" t="str">
        <v>Systemy PPOŻ</v>
      </c>
      <c r="AM21" s="13" t="str">
        <v>Gaśnice</v>
      </c>
      <c r="AN21" s="13" t="str">
        <v>Klimatyzacja</v>
      </c>
      <c r="AO21" s="13" t="str">
        <v>Alarmy</v>
      </c>
      <c r="AP21" s="13" t="str">
        <v>Hydranty</v>
      </c>
      <c r="AQ21" s="13" t="str">
        <v xml:space="preserve">Rolety </v>
      </c>
      <c r="AR21" s="13" t="str">
        <v>Wentylacja</v>
      </c>
      <c r="AS21" s="13" t="str">
        <v>Wymiana filtrów</v>
      </c>
      <c r="AT21" s="13" t="str">
        <v>Regałów magazynowych</v>
      </c>
      <c r="AU21" s="13" t="str">
        <v>CRO</v>
      </c>
      <c r="AV21" s="13" t="str">
        <v>Mroźnia/Chłodnia</v>
      </c>
      <c r="AW21" s="13" t="str">
        <v>Regały chłodnicze</v>
      </c>
      <c r="AX21" s="13" t="str">
        <v>Separatory tłuszczu</v>
      </c>
      <c r="AY21" s="13" t="str">
        <v>Vendingi</v>
      </c>
      <c r="AZ21" s="13" t="str">
        <v>UDT (wózki widłowe, paleciaki)</v>
      </c>
      <c r="BA21" s="13" t="str">
        <v>BHP (drabiny, schodki, podesty)</v>
      </c>
      <c r="BB21" s="12" t="str">
        <v>Ansul</v>
      </c>
      <c r="BC21" s="12" t="str">
        <v>Okap</v>
      </c>
      <c r="BD21" s="12" t="str">
        <v>Brama garażowa</v>
      </c>
      <c r="BE21" s="12" t="str">
        <v>Żaluzje (gastro)</v>
      </c>
      <c r="BF21" s="12" t="str">
        <v>Bramki antykradzieżowe</v>
      </c>
      <c r="BG21" s="12" t="str">
        <v>Mycie jednostek klimatyzacji</v>
      </c>
    </row>
    <row r="22" spans="1:59" ht="25" customHeight="1" x14ac:dyDescent="0.35">
      <c r="A22" s="12" t="s">
        <v>8</v>
      </c>
      <c r="B22" s="1" t="s">
        <v>161</v>
      </c>
      <c r="C22" s="12" t="s">
        <v>93</v>
      </c>
      <c r="D22" s="12" t="s">
        <v>23</v>
      </c>
      <c r="E22" s="15">
        <v>46213</v>
      </c>
      <c r="F22" s="1">
        <v>12</v>
      </c>
      <c r="G22" s="4">
        <f t="shared" si="5"/>
        <v>46578</v>
      </c>
      <c r="H22" s="12" t="str">
        <f t="shared" ca="1" si="6"/>
        <v>OK</v>
      </c>
      <c r="I22" s="14"/>
      <c r="J22" s="1" t="e">
        <f>IF(COUNTA(A22:F183)=0,"",IF(#REF!="","BRAK PROTOKOŁU","DODANY"))</f>
        <v>#REF!</v>
      </c>
      <c r="K22" s="1"/>
      <c r="M22" s="13" t="str" cm="1">
        <f t="array" ref="M22:AD22">IF($A22="","",IFERROR(TRANSPOSE(_xlfn._xlws.FILTER(Lokale!$C$3:$C$91,Lokale!$B$3:$B$91=$A22)),""))</f>
        <v>170 (Glamour)</v>
      </c>
      <c r="N22" s="13" t="str">
        <v>171 (Starter Dworzec)</v>
      </c>
      <c r="O22" s="13" t="str">
        <v>172 (Starter Przyloty)</v>
      </c>
      <c r="P22" s="13" t="str">
        <v>173 (LMDL2)</v>
      </c>
      <c r="Q22" s="13" t="str">
        <v>174 (Zoom NS)</v>
      </c>
      <c r="R22" s="13" t="str">
        <v>175 (Ministore NS)</v>
      </c>
      <c r="S22" s="13" t="str">
        <v>176 (Zoom odloty)</v>
      </c>
      <c r="T22" s="13" t="str">
        <v>177 (Spirit of Poland)</v>
      </c>
      <c r="U22" s="13" t="str">
        <v>178 (Multistore)</v>
      </c>
      <c r="V22" s="13" t="str">
        <v>179 (ZOOM)</v>
      </c>
      <c r="W22" s="13" t="str">
        <v>180 (Starter odloty)</v>
      </c>
      <c r="X22" s="13" t="str">
        <v>181 (Bestseller)</v>
      </c>
      <c r="Y22" s="13" t="str">
        <v>182 (Zoom palarnia)</v>
      </c>
      <c r="Z22" s="13" t="str">
        <v>183 (LMDL)</v>
      </c>
      <c r="AA22" s="13" t="str">
        <v>187 (Zoom NS)</v>
      </c>
      <c r="AB22" s="13" t="str">
        <v>208 (PIZZA)</v>
      </c>
      <c r="AC22" s="13" t="str">
        <v>532 (Magazyn)</v>
      </c>
      <c r="AD22" s="13" t="str">
        <v>Wszystkie lokale</v>
      </c>
      <c r="AJ22" s="13" t="str" cm="1">
        <f t="array" ref="AJ22:BG22">IF($C22="","",IFERROR(TRANSPOSE(_xlfn._xlws.FILTER(Listy!$D$2:$D$60,Listy!$C$2:$C$60=$C22)),""))</f>
        <v>Elektryczny (roczny)</v>
      </c>
      <c r="AK22" s="13" t="str">
        <v>Elektryczny (5-cio letni)</v>
      </c>
      <c r="AL22" s="13" t="str">
        <v>Systemy PPOŻ</v>
      </c>
      <c r="AM22" s="13" t="str">
        <v>Gaśnice</v>
      </c>
      <c r="AN22" s="13" t="str">
        <v>Klimatyzacja</v>
      </c>
      <c r="AO22" s="13" t="str">
        <v>Alarmy</v>
      </c>
      <c r="AP22" s="13" t="str">
        <v>Hydranty</v>
      </c>
      <c r="AQ22" s="13" t="str">
        <v xml:space="preserve">Rolety </v>
      </c>
      <c r="AR22" s="13" t="str">
        <v>Wentylacja</v>
      </c>
      <c r="AS22" s="13" t="str">
        <v>Wymiana filtrów</v>
      </c>
      <c r="AT22" s="13" t="str">
        <v>Regałów magazynowych</v>
      </c>
      <c r="AU22" s="13" t="str">
        <v>CRO</v>
      </c>
      <c r="AV22" s="13" t="str">
        <v>Mroźnia/Chłodnia</v>
      </c>
      <c r="AW22" s="13" t="str">
        <v>Regały chłodnicze</v>
      </c>
      <c r="AX22" s="13" t="str">
        <v>Separatory tłuszczu</v>
      </c>
      <c r="AY22" s="13" t="str">
        <v>Vendingi</v>
      </c>
      <c r="AZ22" s="13" t="str">
        <v>UDT (wózki widłowe, paleciaki)</v>
      </c>
      <c r="BA22" s="13" t="str">
        <v>BHP (drabiny, schodki, podesty)</v>
      </c>
      <c r="BB22" s="12" t="str">
        <v>Ansul</v>
      </c>
      <c r="BC22" s="12" t="str">
        <v>Okap</v>
      </c>
      <c r="BD22" s="12" t="str">
        <v>Brama garażowa</v>
      </c>
      <c r="BE22" s="12" t="str">
        <v>Żaluzje (gastro)</v>
      </c>
      <c r="BF22" s="12" t="str">
        <v>Bramki antykradzieżowe</v>
      </c>
      <c r="BG22" s="12" t="str">
        <v>Mycie jednostek klimatyzacji</v>
      </c>
    </row>
    <row r="23" spans="1:59" ht="25" customHeight="1" x14ac:dyDescent="0.35">
      <c r="A23" s="12" t="s">
        <v>8</v>
      </c>
      <c r="B23" s="1" t="s">
        <v>161</v>
      </c>
      <c r="C23" s="12" t="s">
        <v>93</v>
      </c>
      <c r="D23" s="12" t="s">
        <v>77</v>
      </c>
      <c r="E23" s="15">
        <v>45870</v>
      </c>
      <c r="F23" s="1">
        <v>12</v>
      </c>
      <c r="G23" s="4">
        <f t="shared" si="5"/>
        <v>46235</v>
      </c>
      <c r="H23" s="12" t="str">
        <f t="shared" ca="1" si="6"/>
        <v>DO WYKONANIA</v>
      </c>
      <c r="I23" s="14"/>
      <c r="J23" s="1" t="e">
        <f>IF(COUNTA(A23:F183)=0,"",IF(#REF!="","BRAK PROTOKOŁU","DODANY"))</f>
        <v>#REF!</v>
      </c>
      <c r="K23" s="1"/>
      <c r="M23" s="13" t="str" cm="1">
        <f t="array" ref="M23:AD23">IF($A23="","",IFERROR(TRANSPOSE(_xlfn._xlws.FILTER(Lokale!$C$3:$C$91,Lokale!$B$3:$B$91=$A23)),""))</f>
        <v>170 (Glamour)</v>
      </c>
      <c r="N23" s="13" t="str">
        <v>171 (Starter Dworzec)</v>
      </c>
      <c r="O23" s="13" t="str">
        <v>172 (Starter Przyloty)</v>
      </c>
      <c r="P23" s="13" t="str">
        <v>173 (LMDL2)</v>
      </c>
      <c r="Q23" s="13" t="str">
        <v>174 (Zoom NS)</v>
      </c>
      <c r="R23" s="13" t="str">
        <v>175 (Ministore NS)</v>
      </c>
      <c r="S23" s="13" t="str">
        <v>176 (Zoom odloty)</v>
      </c>
      <c r="T23" s="13" t="str">
        <v>177 (Spirit of Poland)</v>
      </c>
      <c r="U23" s="13" t="str">
        <v>178 (Multistore)</v>
      </c>
      <c r="V23" s="13" t="str">
        <v>179 (ZOOM)</v>
      </c>
      <c r="W23" s="13" t="str">
        <v>180 (Starter odloty)</v>
      </c>
      <c r="X23" s="13" t="str">
        <v>181 (Bestseller)</v>
      </c>
      <c r="Y23" s="13" t="str">
        <v>182 (Zoom palarnia)</v>
      </c>
      <c r="Z23" s="13" t="str">
        <v>183 (LMDL)</v>
      </c>
      <c r="AA23" s="13" t="str">
        <v>187 (Zoom NS)</v>
      </c>
      <c r="AB23" s="13" t="str">
        <v>208 (PIZZA)</v>
      </c>
      <c r="AC23" s="13" t="str">
        <v>532 (Magazyn)</v>
      </c>
      <c r="AD23" s="13" t="str">
        <v>Wszystkie lokale</v>
      </c>
      <c r="AJ23" s="13" t="str" cm="1">
        <f t="array" ref="AJ23:BG23">IF($C23="","",IFERROR(TRANSPOSE(_xlfn._xlws.FILTER(Listy!$D$2:$D$60,Listy!$C$2:$C$60=$C23)),""))</f>
        <v>Elektryczny (roczny)</v>
      </c>
      <c r="AK23" s="13" t="str">
        <v>Elektryczny (5-cio letni)</v>
      </c>
      <c r="AL23" s="13" t="str">
        <v>Systemy PPOŻ</v>
      </c>
      <c r="AM23" s="13" t="str">
        <v>Gaśnice</v>
      </c>
      <c r="AN23" s="13" t="str">
        <v>Klimatyzacja</v>
      </c>
      <c r="AO23" s="13" t="str">
        <v>Alarmy</v>
      </c>
      <c r="AP23" s="13" t="str">
        <v>Hydranty</v>
      </c>
      <c r="AQ23" s="13" t="str">
        <v xml:space="preserve">Rolety </v>
      </c>
      <c r="AR23" s="13" t="str">
        <v>Wentylacja</v>
      </c>
      <c r="AS23" s="13" t="str">
        <v>Wymiana filtrów</v>
      </c>
      <c r="AT23" s="13" t="str">
        <v>Regałów magazynowych</v>
      </c>
      <c r="AU23" s="13" t="str">
        <v>CRO</v>
      </c>
      <c r="AV23" s="13" t="str">
        <v>Mroźnia/Chłodnia</v>
      </c>
      <c r="AW23" s="13" t="str">
        <v>Regały chłodnicze</v>
      </c>
      <c r="AX23" s="13" t="str">
        <v>Separatory tłuszczu</v>
      </c>
      <c r="AY23" s="13" t="str">
        <v>Vendingi</v>
      </c>
      <c r="AZ23" s="13" t="str">
        <v>UDT (wózki widłowe, paleciaki)</v>
      </c>
      <c r="BA23" s="13" t="str">
        <v>BHP (drabiny, schodki, podesty)</v>
      </c>
      <c r="BB23" s="12" t="str">
        <v>Ansul</v>
      </c>
      <c r="BC23" s="12" t="str">
        <v>Okap</v>
      </c>
      <c r="BD23" s="12" t="str">
        <v>Brama garażowa</v>
      </c>
      <c r="BE23" s="12" t="str">
        <v>Żaluzje (gastro)</v>
      </c>
      <c r="BF23" s="12" t="str">
        <v>Bramki antykradzieżowe</v>
      </c>
      <c r="BG23" s="12" t="str">
        <v>Mycie jednostek klimatyzacji</v>
      </c>
    </row>
    <row r="24" spans="1:59" ht="25" customHeight="1" x14ac:dyDescent="0.35">
      <c r="A24" s="12" t="s">
        <v>8</v>
      </c>
      <c r="B24" s="1" t="s">
        <v>161</v>
      </c>
      <c r="C24" s="12" t="s">
        <v>93</v>
      </c>
      <c r="D24" s="12" t="s">
        <v>96</v>
      </c>
      <c r="E24" s="15">
        <v>46054</v>
      </c>
      <c r="F24" s="1">
        <v>12</v>
      </c>
      <c r="G24" s="4">
        <f t="shared" si="5"/>
        <v>46419</v>
      </c>
      <c r="H24" s="12" t="str">
        <f t="shared" ca="1" si="6"/>
        <v>OK</v>
      </c>
      <c r="I24" s="14"/>
      <c r="J24" s="1" t="e">
        <f>IF(COUNTA(A24:F183)=0,"",IF(#REF!="","BRAK PROTOKOŁU","DODANY"))</f>
        <v>#REF!</v>
      </c>
      <c r="K24" s="1"/>
      <c r="M24" s="13" t="str" cm="1">
        <f t="array" ref="M24:AD24">IF($A24="","",IFERROR(TRANSPOSE(_xlfn._xlws.FILTER(Lokale!$C$3:$C$91,Lokale!$B$3:$B$91=$A24)),""))</f>
        <v>170 (Glamour)</v>
      </c>
      <c r="N24" s="13" t="str">
        <v>171 (Starter Dworzec)</v>
      </c>
      <c r="O24" s="13" t="str">
        <v>172 (Starter Przyloty)</v>
      </c>
      <c r="P24" s="13" t="str">
        <v>173 (LMDL2)</v>
      </c>
      <c r="Q24" s="13" t="str">
        <v>174 (Zoom NS)</v>
      </c>
      <c r="R24" s="13" t="str">
        <v>175 (Ministore NS)</v>
      </c>
      <c r="S24" s="13" t="str">
        <v>176 (Zoom odloty)</v>
      </c>
      <c r="T24" s="13" t="str">
        <v>177 (Spirit of Poland)</v>
      </c>
      <c r="U24" s="13" t="str">
        <v>178 (Multistore)</v>
      </c>
      <c r="V24" s="13" t="str">
        <v>179 (ZOOM)</v>
      </c>
      <c r="W24" s="13" t="str">
        <v>180 (Starter odloty)</v>
      </c>
      <c r="X24" s="13" t="str">
        <v>181 (Bestseller)</v>
      </c>
      <c r="Y24" s="13" t="str">
        <v>182 (Zoom palarnia)</v>
      </c>
      <c r="Z24" s="13" t="str">
        <v>183 (LMDL)</v>
      </c>
      <c r="AA24" s="13" t="str">
        <v>187 (Zoom NS)</v>
      </c>
      <c r="AB24" s="13" t="str">
        <v>208 (PIZZA)</v>
      </c>
      <c r="AC24" s="13" t="str">
        <v>532 (Magazyn)</v>
      </c>
      <c r="AD24" s="13" t="str">
        <v>Wszystkie lokale</v>
      </c>
      <c r="AJ24" s="13" t="str" cm="1">
        <f t="array" ref="AJ24:BG24">IF($C24="","",IFERROR(TRANSPOSE(_xlfn._xlws.FILTER(Listy!$D$2:$D$60,Listy!$C$2:$C$60=$C24)),""))</f>
        <v>Elektryczny (roczny)</v>
      </c>
      <c r="AK24" s="13" t="str">
        <v>Elektryczny (5-cio letni)</v>
      </c>
      <c r="AL24" s="13" t="str">
        <v>Systemy PPOŻ</v>
      </c>
      <c r="AM24" s="13" t="str">
        <v>Gaśnice</v>
      </c>
      <c r="AN24" s="13" t="str">
        <v>Klimatyzacja</v>
      </c>
      <c r="AO24" s="13" t="str">
        <v>Alarmy</v>
      </c>
      <c r="AP24" s="13" t="str">
        <v>Hydranty</v>
      </c>
      <c r="AQ24" s="13" t="str">
        <v xml:space="preserve">Rolety </v>
      </c>
      <c r="AR24" s="13" t="str">
        <v>Wentylacja</v>
      </c>
      <c r="AS24" s="13" t="str">
        <v>Wymiana filtrów</v>
      </c>
      <c r="AT24" s="13" t="str">
        <v>Regałów magazynowych</v>
      </c>
      <c r="AU24" s="13" t="str">
        <v>CRO</v>
      </c>
      <c r="AV24" s="13" t="str">
        <v>Mroźnia/Chłodnia</v>
      </c>
      <c r="AW24" s="13" t="str">
        <v>Regały chłodnicze</v>
      </c>
      <c r="AX24" s="13" t="str">
        <v>Separatory tłuszczu</v>
      </c>
      <c r="AY24" s="13" t="str">
        <v>Vendingi</v>
      </c>
      <c r="AZ24" s="13" t="str">
        <v>UDT (wózki widłowe, paleciaki)</v>
      </c>
      <c r="BA24" s="13" t="str">
        <v>BHP (drabiny, schodki, podesty)</v>
      </c>
      <c r="BB24" s="12" t="str">
        <v>Ansul</v>
      </c>
      <c r="BC24" s="12" t="str">
        <v>Okap</v>
      </c>
      <c r="BD24" s="12" t="str">
        <v>Brama garażowa</v>
      </c>
      <c r="BE24" s="12" t="str">
        <v>Żaluzje (gastro)</v>
      </c>
      <c r="BF24" s="12" t="str">
        <v>Bramki antykradzieżowe</v>
      </c>
      <c r="BG24" s="12" t="str">
        <v>Mycie jednostek klimatyzacji</v>
      </c>
    </row>
    <row r="25" spans="1:59" ht="25" customHeight="1" x14ac:dyDescent="0.35">
      <c r="A25" s="12" t="s">
        <v>8</v>
      </c>
      <c r="B25" s="1" t="s">
        <v>161</v>
      </c>
      <c r="C25" s="12" t="s">
        <v>94</v>
      </c>
      <c r="D25" s="12" t="s">
        <v>163</v>
      </c>
      <c r="E25" s="15">
        <v>46204</v>
      </c>
      <c r="F25" s="1">
        <v>2</v>
      </c>
      <c r="G25" s="4">
        <f t="shared" si="5"/>
        <v>46266</v>
      </c>
      <c r="H25" s="12" t="str">
        <f t="shared" ca="1" si="6"/>
        <v>OK</v>
      </c>
      <c r="I25" s="14"/>
      <c r="J25" s="1" t="e">
        <f>IF(COUNTA(A25:F183)=0,"",IF(#REF!="","BRAK PROTOKOŁU","DODANY"))</f>
        <v>#REF!</v>
      </c>
      <c r="K25" s="1"/>
      <c r="M25" s="13" t="str" cm="1">
        <f t="array" ref="M25:AD25">IF($A25="","",IFERROR(TRANSPOSE(_xlfn._xlws.FILTER(Lokale!$C$3:$C$91,Lokale!$B$3:$B$91=$A25)),""))</f>
        <v>170 (Glamour)</v>
      </c>
      <c r="N25" s="13" t="str">
        <v>171 (Starter Dworzec)</v>
      </c>
      <c r="O25" s="13" t="str">
        <v>172 (Starter Przyloty)</v>
      </c>
      <c r="P25" s="13" t="str">
        <v>173 (LMDL2)</v>
      </c>
      <c r="Q25" s="13" t="str">
        <v>174 (Zoom NS)</v>
      </c>
      <c r="R25" s="13" t="str">
        <v>175 (Ministore NS)</v>
      </c>
      <c r="S25" s="13" t="str">
        <v>176 (Zoom odloty)</v>
      </c>
      <c r="T25" s="13" t="str">
        <v>177 (Spirit of Poland)</v>
      </c>
      <c r="U25" s="13" t="str">
        <v>178 (Multistore)</v>
      </c>
      <c r="V25" s="13" t="str">
        <v>179 (ZOOM)</v>
      </c>
      <c r="W25" s="13" t="str">
        <v>180 (Starter odloty)</v>
      </c>
      <c r="X25" s="13" t="str">
        <v>181 (Bestseller)</v>
      </c>
      <c r="Y25" s="13" t="str">
        <v>182 (Zoom palarnia)</v>
      </c>
      <c r="Z25" s="13" t="str">
        <v>183 (LMDL)</v>
      </c>
      <c r="AA25" s="13" t="str">
        <v>187 (Zoom NS)</v>
      </c>
      <c r="AB25" s="13" t="str">
        <v>208 (PIZZA)</v>
      </c>
      <c r="AC25" s="13" t="str">
        <v>532 (Magazyn)</v>
      </c>
      <c r="AD25" s="13" t="str">
        <v>Wszystkie lokale</v>
      </c>
      <c r="AJ25" s="13" t="str" cm="1">
        <f t="array" ref="AJ25:AX25">IF($C25="","",IFERROR(TRANSPOSE(_xlfn._xlws.FILTER(Listy!$D$2:$D$60,Listy!$C$2:$C$60=$C25)),""))</f>
        <v>Klamki na kod</v>
      </c>
      <c r="AK25" s="13" t="str">
        <v>Oświetlenie</v>
      </c>
      <c r="AL25" s="13" t="str">
        <v>Drzwi przeciwpożarowe</v>
      </c>
      <c r="AM25" s="13" t="str">
        <v>Drzwi na zaplecze</v>
      </c>
      <c r="AN25" s="13" t="str">
        <v>Systemy multmedialne</v>
      </c>
      <c r="AO25" s="13" t="str">
        <v>Posadzki, wykładziny</v>
      </c>
      <c r="AP25" s="13" t="str">
        <v>Kontrola kurzu</v>
      </c>
      <c r="AQ25" s="13" t="str">
        <v>Light boxy</v>
      </c>
      <c r="AR25" s="13" t="str">
        <v>Floorboxy</v>
      </c>
      <c r="AS25" s="13" t="str">
        <v>Meble</v>
      </c>
      <c r="AT25" s="13" t="str">
        <v>Szyby</v>
      </c>
      <c r="AU25" s="13" t="str">
        <v>Lampy owadobójcze</v>
      </c>
      <c r="AV25" s="13" t="str">
        <v>Samochody</v>
      </c>
      <c r="AW25" s="13" t="str">
        <v>Windy w samochodach</v>
      </c>
      <c r="AX25" s="13" t="str">
        <v>Sprawdzenie pompy odpływowej</v>
      </c>
    </row>
    <row r="26" spans="1:59" ht="25" customHeight="1" x14ac:dyDescent="0.35">
      <c r="A26" s="12" t="s">
        <v>8</v>
      </c>
      <c r="B26" s="1" t="s">
        <v>161</v>
      </c>
      <c r="C26" s="12" t="s">
        <v>94</v>
      </c>
      <c r="D26" s="12" t="s">
        <v>80</v>
      </c>
      <c r="E26" s="15">
        <v>46204</v>
      </c>
      <c r="F26" s="1">
        <v>1</v>
      </c>
      <c r="G26" s="4">
        <f t="shared" si="5"/>
        <v>46235</v>
      </c>
      <c r="H26" s="12" t="str">
        <f t="shared" ca="1" si="6"/>
        <v>DO WYKONANIA</v>
      </c>
      <c r="I26" s="14"/>
      <c r="J26" s="1" t="e">
        <f>IF(COUNTA(A26:F183)=0,"",IF(#REF!="","BRAK PROTOKOŁU","DODANY"))</f>
        <v>#REF!</v>
      </c>
      <c r="K26" s="1"/>
      <c r="M26" s="13" t="str" cm="1">
        <f t="array" ref="M26:AD26">IF($A26="","",IFERROR(TRANSPOSE(_xlfn._xlws.FILTER(Lokale!$C$3:$C$91,Lokale!$B$3:$B$91=$A26)),""))</f>
        <v>170 (Glamour)</v>
      </c>
      <c r="N26" s="13" t="str">
        <v>171 (Starter Dworzec)</v>
      </c>
      <c r="O26" s="13" t="str">
        <v>172 (Starter Przyloty)</v>
      </c>
      <c r="P26" s="13" t="str">
        <v>173 (LMDL2)</v>
      </c>
      <c r="Q26" s="13" t="str">
        <v>174 (Zoom NS)</v>
      </c>
      <c r="R26" s="13" t="str">
        <v>175 (Ministore NS)</v>
      </c>
      <c r="S26" s="13" t="str">
        <v>176 (Zoom odloty)</v>
      </c>
      <c r="T26" s="13" t="str">
        <v>177 (Spirit of Poland)</v>
      </c>
      <c r="U26" s="13" t="str">
        <v>178 (Multistore)</v>
      </c>
      <c r="V26" s="13" t="str">
        <v>179 (ZOOM)</v>
      </c>
      <c r="W26" s="13" t="str">
        <v>180 (Starter odloty)</v>
      </c>
      <c r="X26" s="13" t="str">
        <v>181 (Bestseller)</v>
      </c>
      <c r="Y26" s="13" t="str">
        <v>182 (Zoom palarnia)</v>
      </c>
      <c r="Z26" s="13" t="str">
        <v>183 (LMDL)</v>
      </c>
      <c r="AA26" s="13" t="str">
        <v>187 (Zoom NS)</v>
      </c>
      <c r="AB26" s="13" t="str">
        <v>208 (PIZZA)</v>
      </c>
      <c r="AC26" s="13" t="str">
        <v>532 (Magazyn)</v>
      </c>
      <c r="AD26" s="13" t="str">
        <v>Wszystkie lokale</v>
      </c>
      <c r="AJ26" s="13" t="str" cm="1">
        <f t="array" ref="AJ26:AX26">IF($C26="","",IFERROR(TRANSPOSE(_xlfn._xlws.FILTER(Listy!$D$2:$D$60,Listy!$C$2:$C$60=$C26)),""))</f>
        <v>Klamki na kod</v>
      </c>
      <c r="AK26" s="13" t="str">
        <v>Oświetlenie</v>
      </c>
      <c r="AL26" s="13" t="str">
        <v>Drzwi przeciwpożarowe</v>
      </c>
      <c r="AM26" s="13" t="str">
        <v>Drzwi na zaplecze</v>
      </c>
      <c r="AN26" s="13" t="str">
        <v>Systemy multmedialne</v>
      </c>
      <c r="AO26" s="13" t="str">
        <v>Posadzki, wykładziny</v>
      </c>
      <c r="AP26" s="13" t="str">
        <v>Kontrola kurzu</v>
      </c>
      <c r="AQ26" s="13" t="str">
        <v>Light boxy</v>
      </c>
      <c r="AR26" s="13" t="str">
        <v>Floorboxy</v>
      </c>
      <c r="AS26" s="13" t="str">
        <v>Meble</v>
      </c>
      <c r="AT26" s="13" t="str">
        <v>Szyby</v>
      </c>
      <c r="AU26" s="13" t="str">
        <v>Lampy owadobójcze</v>
      </c>
      <c r="AV26" s="13" t="str">
        <v>Samochody</v>
      </c>
      <c r="AW26" s="13" t="str">
        <v>Windy w samochodach</v>
      </c>
      <c r="AX26" s="13" t="str">
        <v>Sprawdzenie pompy odpływowej</v>
      </c>
    </row>
    <row r="27" spans="1:59" ht="25" customHeight="1" x14ac:dyDescent="0.35">
      <c r="B27" s="1"/>
      <c r="E27" s="15"/>
      <c r="F27" s="1"/>
      <c r="G27" s="4" t="str">
        <f>IF(OR(E27="",F27=""),"",DATE(YEAR(E27),MONTH(E27)+F27,DAY(E27)))</f>
        <v/>
      </c>
      <c r="H27" s="12" t="str">
        <f ca="1">IF(G27="","",IF(G27&lt;TODAY(),"PO TERMINIE",IF(G27&lt;=TODAY()+14,"DO WYKONANIA","OK")))</f>
        <v/>
      </c>
      <c r="I27" s="14"/>
      <c r="J27" s="1" t="e">
        <f>IF(COUNTA(A27:F178)=0,"",IF(#REF!="","BRAK PROTOKOŁU","DODANY"))</f>
        <v>#REF!</v>
      </c>
      <c r="K27" s="1"/>
    </row>
    <row r="28" spans="1:59" ht="25" customHeight="1" x14ac:dyDescent="0.35">
      <c r="A28" s="12" t="s">
        <v>8</v>
      </c>
      <c r="B28" s="12" t="s">
        <v>69</v>
      </c>
      <c r="C28" s="12" t="s">
        <v>93</v>
      </c>
      <c r="D28" s="12" t="s">
        <v>85</v>
      </c>
      <c r="E28" s="15">
        <v>46093</v>
      </c>
      <c r="F28" s="1">
        <v>12</v>
      </c>
      <c r="G28" s="4">
        <f t="shared" ref="G28:G33" si="7">IF(OR(E28="",F28=""),"",DATE(YEAR(E28),MONTH(E28)+F28,DAY(E28)))</f>
        <v>46458</v>
      </c>
      <c r="H28" s="12" t="str">
        <f t="shared" ref="H28:H33" ca="1" si="8">IF(G28="","",IF(G28&lt;TODAY(),"PO TERMINIE",IF(G28&lt;=TODAY()+14,"DO WYKONANIA","OK")))</f>
        <v>OK</v>
      </c>
      <c r="I28" s="14"/>
      <c r="J28" s="1" t="e">
        <f>IF(COUNTA(A28:F136)=0,"",IF(#REF!="","BRAK PROTOKOŁU","DODANY"))</f>
        <v>#REF!</v>
      </c>
      <c r="K28" s="1"/>
      <c r="M28" s="13" t="str" cm="1">
        <f t="array" ref="M28:AD28">IF($A28="","",IFERROR(TRANSPOSE(_xlfn._xlws.FILTER(Lokale!$C$3:$C$91,Lokale!$B$3:$B$91=$A28)),""))</f>
        <v>170 (Glamour)</v>
      </c>
      <c r="N28" s="13" t="str">
        <v>171 (Starter Dworzec)</v>
      </c>
      <c r="O28" s="13" t="str">
        <v>172 (Starter Przyloty)</v>
      </c>
      <c r="P28" s="13" t="str">
        <v>173 (LMDL2)</v>
      </c>
      <c r="Q28" s="13" t="str">
        <v>174 (Zoom NS)</v>
      </c>
      <c r="R28" s="13" t="str">
        <v>175 (Ministore NS)</v>
      </c>
      <c r="S28" s="13" t="str">
        <v>176 (Zoom odloty)</v>
      </c>
      <c r="T28" s="13" t="str">
        <v>177 (Spirit of Poland)</v>
      </c>
      <c r="U28" s="13" t="str">
        <v>178 (Multistore)</v>
      </c>
      <c r="V28" s="13" t="str">
        <v>179 (ZOOM)</v>
      </c>
      <c r="W28" s="13" t="str">
        <v>180 (Starter odloty)</v>
      </c>
      <c r="X28" s="13" t="str">
        <v>181 (Bestseller)</v>
      </c>
      <c r="Y28" s="13" t="str">
        <v>182 (Zoom palarnia)</v>
      </c>
      <c r="Z28" s="13" t="str">
        <v>183 (LMDL)</v>
      </c>
      <c r="AA28" s="13" t="str">
        <v>187 (Zoom NS)</v>
      </c>
      <c r="AB28" s="13" t="str">
        <v>208 (PIZZA)</v>
      </c>
      <c r="AC28" s="13" t="str">
        <v>532 (Magazyn)</v>
      </c>
      <c r="AD28" s="13" t="str">
        <v>Wszystkie lokale</v>
      </c>
      <c r="AJ28" s="13" t="str" cm="1">
        <f t="array" ref="AJ28:BG28">IF($C28="","",IFERROR(TRANSPOSE(_xlfn._xlws.FILTER(Listy!$D$2:$D$60,Listy!$C$2:$C$60=$C28)),""))</f>
        <v>Elektryczny (roczny)</v>
      </c>
      <c r="AK28" s="13" t="str">
        <v>Elektryczny (5-cio letni)</v>
      </c>
      <c r="AL28" s="13" t="str">
        <v>Systemy PPOŻ</v>
      </c>
      <c r="AM28" s="13" t="str">
        <v>Gaśnice</v>
      </c>
      <c r="AN28" s="13" t="str">
        <v>Klimatyzacja</v>
      </c>
      <c r="AO28" s="13" t="str">
        <v>Alarmy</v>
      </c>
      <c r="AP28" s="13" t="str">
        <v>Hydranty</v>
      </c>
      <c r="AQ28" s="13" t="str">
        <v xml:space="preserve">Rolety </v>
      </c>
      <c r="AR28" s="13" t="str">
        <v>Wentylacja</v>
      </c>
      <c r="AS28" s="13" t="str">
        <v>Wymiana filtrów</v>
      </c>
      <c r="AT28" s="13" t="str">
        <v>Regałów magazynowych</v>
      </c>
      <c r="AU28" s="13" t="str">
        <v>CRO</v>
      </c>
      <c r="AV28" s="13" t="str">
        <v>Mroźnia/Chłodnia</v>
      </c>
      <c r="AW28" s="13" t="str">
        <v>Regały chłodnicze</v>
      </c>
      <c r="AX28" s="13" t="str">
        <v>Separatory tłuszczu</v>
      </c>
      <c r="AY28" s="13" t="str">
        <v>Vendingi</v>
      </c>
      <c r="AZ28" s="13" t="str">
        <v>UDT (wózki widłowe, paleciaki)</v>
      </c>
      <c r="BA28" s="13" t="str">
        <v>BHP (drabiny, schodki, podesty)</v>
      </c>
      <c r="BB28" s="12" t="str">
        <v>Ansul</v>
      </c>
      <c r="BC28" s="12" t="str">
        <v>Okap</v>
      </c>
      <c r="BD28" s="12" t="str">
        <v>Brama garażowa</v>
      </c>
      <c r="BE28" s="12" t="str">
        <v>Żaluzje (gastro)</v>
      </c>
      <c r="BF28" s="12" t="str">
        <v>Bramki antykradzieżowe</v>
      </c>
      <c r="BG28" s="12" t="str">
        <v>Mycie jednostek klimatyzacji</v>
      </c>
    </row>
    <row r="29" spans="1:59" ht="25" customHeight="1" x14ac:dyDescent="0.35">
      <c r="A29" s="12" t="s">
        <v>8</v>
      </c>
      <c r="B29" s="12" t="s">
        <v>69</v>
      </c>
      <c r="C29" s="12" t="s">
        <v>93</v>
      </c>
      <c r="D29" s="12" t="s">
        <v>86</v>
      </c>
      <c r="E29" s="15">
        <v>44997</v>
      </c>
      <c r="F29" s="1">
        <v>60</v>
      </c>
      <c r="G29" s="4">
        <f t="shared" si="7"/>
        <v>46824</v>
      </c>
      <c r="H29" s="12" t="str">
        <f t="shared" ca="1" si="8"/>
        <v>OK</v>
      </c>
      <c r="I29" s="14"/>
      <c r="J29" s="1" t="e">
        <f>IF(COUNTA(A29:F137)=0,"",IF(#REF!="","BRAK PROTOKOŁU","DODANY"))</f>
        <v>#REF!</v>
      </c>
      <c r="K29" s="1"/>
      <c r="M29" s="13" t="str" cm="1">
        <f t="array" ref="M29:AD29">IF($A29="","",IFERROR(TRANSPOSE(_xlfn._xlws.FILTER(Lokale!$C$3:$C$91,Lokale!$B$3:$B$91=$A29)),""))</f>
        <v>170 (Glamour)</v>
      </c>
      <c r="N29" s="13" t="str">
        <v>171 (Starter Dworzec)</v>
      </c>
      <c r="O29" s="13" t="str">
        <v>172 (Starter Przyloty)</v>
      </c>
      <c r="P29" s="13" t="str">
        <v>173 (LMDL2)</v>
      </c>
      <c r="Q29" s="13" t="str">
        <v>174 (Zoom NS)</v>
      </c>
      <c r="R29" s="13" t="str">
        <v>175 (Ministore NS)</v>
      </c>
      <c r="S29" s="13" t="str">
        <v>176 (Zoom odloty)</v>
      </c>
      <c r="T29" s="13" t="str">
        <v>177 (Spirit of Poland)</v>
      </c>
      <c r="U29" s="13" t="str">
        <v>178 (Multistore)</v>
      </c>
      <c r="V29" s="13" t="str">
        <v>179 (ZOOM)</v>
      </c>
      <c r="W29" s="13" t="str">
        <v>180 (Starter odloty)</v>
      </c>
      <c r="X29" s="13" t="str">
        <v>181 (Bestseller)</v>
      </c>
      <c r="Y29" s="13" t="str">
        <v>182 (Zoom palarnia)</v>
      </c>
      <c r="Z29" s="13" t="str">
        <v>183 (LMDL)</v>
      </c>
      <c r="AA29" s="13" t="str">
        <v>187 (Zoom NS)</v>
      </c>
      <c r="AB29" s="13" t="str">
        <v>208 (PIZZA)</v>
      </c>
      <c r="AC29" s="13" t="str">
        <v>532 (Magazyn)</v>
      </c>
      <c r="AD29" s="13" t="str">
        <v>Wszystkie lokale</v>
      </c>
      <c r="AJ29" s="13" t="str" cm="1">
        <f t="array" ref="AJ29:BG29">IF($C29="","",IFERROR(TRANSPOSE(_xlfn._xlws.FILTER(Listy!$D$2:$D$60,Listy!$C$2:$C$60=$C29)),""))</f>
        <v>Elektryczny (roczny)</v>
      </c>
      <c r="AK29" s="13" t="str">
        <v>Elektryczny (5-cio letni)</v>
      </c>
      <c r="AL29" s="13" t="str">
        <v>Systemy PPOŻ</v>
      </c>
      <c r="AM29" s="13" t="str">
        <v>Gaśnice</v>
      </c>
      <c r="AN29" s="13" t="str">
        <v>Klimatyzacja</v>
      </c>
      <c r="AO29" s="13" t="str">
        <v>Alarmy</v>
      </c>
      <c r="AP29" s="13" t="str">
        <v>Hydranty</v>
      </c>
      <c r="AQ29" s="13" t="str">
        <v xml:space="preserve">Rolety </v>
      </c>
      <c r="AR29" s="13" t="str">
        <v>Wentylacja</v>
      </c>
      <c r="AS29" s="13" t="str">
        <v>Wymiana filtrów</v>
      </c>
      <c r="AT29" s="13" t="str">
        <v>Regałów magazynowych</v>
      </c>
      <c r="AU29" s="13" t="str">
        <v>CRO</v>
      </c>
      <c r="AV29" s="13" t="str">
        <v>Mroźnia/Chłodnia</v>
      </c>
      <c r="AW29" s="13" t="str">
        <v>Regały chłodnicze</v>
      </c>
      <c r="AX29" s="13" t="str">
        <v>Separatory tłuszczu</v>
      </c>
      <c r="AY29" s="13" t="str">
        <v>Vendingi</v>
      </c>
      <c r="AZ29" s="13" t="str">
        <v>UDT (wózki widłowe, paleciaki)</v>
      </c>
      <c r="BA29" s="13" t="str">
        <v>BHP (drabiny, schodki, podesty)</v>
      </c>
      <c r="BB29" s="12" t="str">
        <v>Ansul</v>
      </c>
      <c r="BC29" s="12" t="str">
        <v>Okap</v>
      </c>
      <c r="BD29" s="12" t="str">
        <v>Brama garażowa</v>
      </c>
      <c r="BE29" s="12" t="str">
        <v>Żaluzje (gastro)</v>
      </c>
      <c r="BF29" s="12" t="str">
        <v>Bramki antykradzieżowe</v>
      </c>
      <c r="BG29" s="12" t="str">
        <v>Mycie jednostek klimatyzacji</v>
      </c>
    </row>
    <row r="30" spans="1:59" ht="25" customHeight="1" x14ac:dyDescent="0.35">
      <c r="A30" s="12" t="s">
        <v>8</v>
      </c>
      <c r="B30" s="12" t="s">
        <v>69</v>
      </c>
      <c r="C30" s="12" t="s">
        <v>93</v>
      </c>
      <c r="D30" s="12" t="s">
        <v>96</v>
      </c>
      <c r="E30" s="15">
        <v>46176</v>
      </c>
      <c r="F30" s="1">
        <v>12</v>
      </c>
      <c r="G30" s="4">
        <f t="shared" si="7"/>
        <v>46541</v>
      </c>
      <c r="H30" s="12" t="str">
        <f t="shared" ca="1" si="8"/>
        <v>OK</v>
      </c>
      <c r="I30" s="14"/>
      <c r="J30" s="1" t="e">
        <f>IF(COUNTA(A30:F139)=0,"",IF(#REF!="","BRAK PROTOKOŁU","DODANY"))</f>
        <v>#REF!</v>
      </c>
      <c r="K30" s="1"/>
      <c r="M30" s="13" t="str" cm="1">
        <f t="array" ref="M30:AD30">IF($A30="","",IFERROR(TRANSPOSE(_xlfn._xlws.FILTER(Lokale!$C$3:$C$91,Lokale!$B$3:$B$91=$A30)),""))</f>
        <v>170 (Glamour)</v>
      </c>
      <c r="N30" s="13" t="str">
        <v>171 (Starter Dworzec)</v>
      </c>
      <c r="O30" s="13" t="str">
        <v>172 (Starter Przyloty)</v>
      </c>
      <c r="P30" s="13" t="str">
        <v>173 (LMDL2)</v>
      </c>
      <c r="Q30" s="13" t="str">
        <v>174 (Zoom NS)</v>
      </c>
      <c r="R30" s="13" t="str">
        <v>175 (Ministore NS)</v>
      </c>
      <c r="S30" s="13" t="str">
        <v>176 (Zoom odloty)</v>
      </c>
      <c r="T30" s="13" t="str">
        <v>177 (Spirit of Poland)</v>
      </c>
      <c r="U30" s="13" t="str">
        <v>178 (Multistore)</v>
      </c>
      <c r="V30" s="13" t="str">
        <v>179 (ZOOM)</v>
      </c>
      <c r="W30" s="13" t="str">
        <v>180 (Starter odloty)</v>
      </c>
      <c r="X30" s="13" t="str">
        <v>181 (Bestseller)</v>
      </c>
      <c r="Y30" s="13" t="str">
        <v>182 (Zoom palarnia)</v>
      </c>
      <c r="Z30" s="13" t="str">
        <v>183 (LMDL)</v>
      </c>
      <c r="AA30" s="13" t="str">
        <v>187 (Zoom NS)</v>
      </c>
      <c r="AB30" s="13" t="str">
        <v>208 (PIZZA)</v>
      </c>
      <c r="AC30" s="13" t="str">
        <v>532 (Magazyn)</v>
      </c>
      <c r="AD30" s="13" t="str">
        <v>Wszystkie lokale</v>
      </c>
      <c r="AJ30" s="13" t="str" cm="1">
        <f t="array" ref="AJ30:BG30">IF($C30="","",IFERROR(TRANSPOSE(_xlfn._xlws.FILTER(Listy!$D$2:$D$60,Listy!$C$2:$C$60=$C30)),""))</f>
        <v>Elektryczny (roczny)</v>
      </c>
      <c r="AK30" s="13" t="str">
        <v>Elektryczny (5-cio letni)</v>
      </c>
      <c r="AL30" s="13" t="str">
        <v>Systemy PPOŻ</v>
      </c>
      <c r="AM30" s="13" t="str">
        <v>Gaśnice</v>
      </c>
      <c r="AN30" s="13" t="str">
        <v>Klimatyzacja</v>
      </c>
      <c r="AO30" s="13" t="str">
        <v>Alarmy</v>
      </c>
      <c r="AP30" s="13" t="str">
        <v>Hydranty</v>
      </c>
      <c r="AQ30" s="13" t="str">
        <v xml:space="preserve">Rolety </v>
      </c>
      <c r="AR30" s="13" t="str">
        <v>Wentylacja</v>
      </c>
      <c r="AS30" s="13" t="str">
        <v>Wymiana filtrów</v>
      </c>
      <c r="AT30" s="13" t="str">
        <v>Regałów magazynowych</v>
      </c>
      <c r="AU30" s="13" t="str">
        <v>CRO</v>
      </c>
      <c r="AV30" s="13" t="str">
        <v>Mroźnia/Chłodnia</v>
      </c>
      <c r="AW30" s="13" t="str">
        <v>Regały chłodnicze</v>
      </c>
      <c r="AX30" s="13" t="str">
        <v>Separatory tłuszczu</v>
      </c>
      <c r="AY30" s="13" t="str">
        <v>Vendingi</v>
      </c>
      <c r="AZ30" s="13" t="str">
        <v>UDT (wózki widłowe, paleciaki)</v>
      </c>
      <c r="BA30" s="13" t="str">
        <v>BHP (drabiny, schodki, podesty)</v>
      </c>
      <c r="BB30" s="12" t="str">
        <v>Ansul</v>
      </c>
      <c r="BC30" s="12" t="str">
        <v>Okap</v>
      </c>
      <c r="BD30" s="12" t="str">
        <v>Brama garażowa</v>
      </c>
      <c r="BE30" s="12" t="str">
        <v>Żaluzje (gastro)</v>
      </c>
      <c r="BF30" s="12" t="str">
        <v>Bramki antykradzieżowe</v>
      </c>
      <c r="BG30" s="12" t="str">
        <v>Mycie jednostek klimatyzacji</v>
      </c>
    </row>
    <row r="31" spans="1:59" ht="25" customHeight="1" x14ac:dyDescent="0.35">
      <c r="A31" s="12" t="s">
        <v>8</v>
      </c>
      <c r="B31" s="12" t="s">
        <v>69</v>
      </c>
      <c r="C31" s="12" t="s">
        <v>93</v>
      </c>
      <c r="D31" s="12" t="s">
        <v>22</v>
      </c>
      <c r="E31" s="15">
        <v>46192</v>
      </c>
      <c r="F31" s="1">
        <v>3</v>
      </c>
      <c r="G31" s="4">
        <f t="shared" si="7"/>
        <v>46284</v>
      </c>
      <c r="H31" s="12" t="str">
        <f t="shared" ca="1" si="8"/>
        <v>OK</v>
      </c>
      <c r="I31" s="14"/>
      <c r="J31" s="1" t="e">
        <f>IF(COUNTA(A31:F140)=0,"",IF(#REF!="","BRAK PROTOKOŁU","DODANY"))</f>
        <v>#REF!</v>
      </c>
      <c r="K31" s="1"/>
      <c r="M31" s="13" t="str" cm="1">
        <f t="array" ref="M31:AD31">IF($A31="","",IFERROR(TRANSPOSE(_xlfn._xlws.FILTER(Lokale!$C$3:$C$91,Lokale!$B$3:$B$91=$A31)),""))</f>
        <v>170 (Glamour)</v>
      </c>
      <c r="N31" s="13" t="str">
        <v>171 (Starter Dworzec)</v>
      </c>
      <c r="O31" s="13" t="str">
        <v>172 (Starter Przyloty)</v>
      </c>
      <c r="P31" s="13" t="str">
        <v>173 (LMDL2)</v>
      </c>
      <c r="Q31" s="13" t="str">
        <v>174 (Zoom NS)</v>
      </c>
      <c r="R31" s="13" t="str">
        <v>175 (Ministore NS)</v>
      </c>
      <c r="S31" s="13" t="str">
        <v>176 (Zoom odloty)</v>
      </c>
      <c r="T31" s="13" t="str">
        <v>177 (Spirit of Poland)</v>
      </c>
      <c r="U31" s="13" t="str">
        <v>178 (Multistore)</v>
      </c>
      <c r="V31" s="13" t="str">
        <v>179 (ZOOM)</v>
      </c>
      <c r="W31" s="13" t="str">
        <v>180 (Starter odloty)</v>
      </c>
      <c r="X31" s="13" t="str">
        <v>181 (Bestseller)</v>
      </c>
      <c r="Y31" s="13" t="str">
        <v>182 (Zoom palarnia)</v>
      </c>
      <c r="Z31" s="13" t="str">
        <v>183 (LMDL)</v>
      </c>
      <c r="AA31" s="13" t="str">
        <v>187 (Zoom NS)</v>
      </c>
      <c r="AB31" s="13" t="str">
        <v>208 (PIZZA)</v>
      </c>
      <c r="AC31" s="13" t="str">
        <v>532 (Magazyn)</v>
      </c>
      <c r="AD31" s="13" t="str">
        <v>Wszystkie lokale</v>
      </c>
      <c r="AJ31" s="13" t="str" cm="1">
        <f t="array" ref="AJ31:BG31">IF($C31="","",IFERROR(TRANSPOSE(_xlfn._xlws.FILTER(Listy!$D$2:$D$60,Listy!$C$2:$C$60=$C31)),""))</f>
        <v>Elektryczny (roczny)</v>
      </c>
      <c r="AK31" s="13" t="str">
        <v>Elektryczny (5-cio letni)</v>
      </c>
      <c r="AL31" s="13" t="str">
        <v>Systemy PPOŻ</v>
      </c>
      <c r="AM31" s="13" t="str">
        <v>Gaśnice</v>
      </c>
      <c r="AN31" s="13" t="str">
        <v>Klimatyzacja</v>
      </c>
      <c r="AO31" s="13" t="str">
        <v>Alarmy</v>
      </c>
      <c r="AP31" s="13" t="str">
        <v>Hydranty</v>
      </c>
      <c r="AQ31" s="13" t="str">
        <v xml:space="preserve">Rolety </v>
      </c>
      <c r="AR31" s="13" t="str">
        <v>Wentylacja</v>
      </c>
      <c r="AS31" s="13" t="str">
        <v>Wymiana filtrów</v>
      </c>
      <c r="AT31" s="13" t="str">
        <v>Regałów magazynowych</v>
      </c>
      <c r="AU31" s="13" t="str">
        <v>CRO</v>
      </c>
      <c r="AV31" s="13" t="str">
        <v>Mroźnia/Chłodnia</v>
      </c>
      <c r="AW31" s="13" t="str">
        <v>Regały chłodnicze</v>
      </c>
      <c r="AX31" s="13" t="str">
        <v>Separatory tłuszczu</v>
      </c>
      <c r="AY31" s="13" t="str">
        <v>Vendingi</v>
      </c>
      <c r="AZ31" s="13" t="str">
        <v>UDT (wózki widłowe, paleciaki)</v>
      </c>
      <c r="BA31" s="13" t="str">
        <v>BHP (drabiny, schodki, podesty)</v>
      </c>
      <c r="BB31" s="12" t="str">
        <v>Ansul</v>
      </c>
      <c r="BC31" s="12" t="str">
        <v>Okap</v>
      </c>
      <c r="BD31" s="12" t="str">
        <v>Brama garażowa</v>
      </c>
      <c r="BE31" s="12" t="str">
        <v>Żaluzje (gastro)</v>
      </c>
      <c r="BF31" s="12" t="str">
        <v>Bramki antykradzieżowe</v>
      </c>
      <c r="BG31" s="12" t="str">
        <v>Mycie jednostek klimatyzacji</v>
      </c>
    </row>
    <row r="32" spans="1:59" ht="25" customHeight="1" x14ac:dyDescent="0.35">
      <c r="A32" s="12" t="s">
        <v>8</v>
      </c>
      <c r="B32" s="12" t="s">
        <v>69</v>
      </c>
      <c r="C32" s="12" t="s">
        <v>93</v>
      </c>
      <c r="D32" s="12" t="s">
        <v>77</v>
      </c>
      <c r="E32" s="15">
        <v>46023</v>
      </c>
      <c r="F32" s="1">
        <v>12</v>
      </c>
      <c r="G32" s="4">
        <f t="shared" si="7"/>
        <v>46388</v>
      </c>
      <c r="H32" s="12" t="str">
        <f t="shared" ca="1" si="8"/>
        <v>OK</v>
      </c>
      <c r="I32" s="14"/>
      <c r="J32" s="1" t="e">
        <f>IF(COUNTA(A32:F142)=0,"",IF(#REF!="","BRAK PROTOKOŁU","DODANY"))</f>
        <v>#REF!</v>
      </c>
      <c r="K32" s="1"/>
      <c r="M32" s="13" t="str" cm="1">
        <f t="array" ref="M32:AD32">IF($A32="","",IFERROR(TRANSPOSE(_xlfn._xlws.FILTER(Lokale!$C$3:$C$91,Lokale!$B$3:$B$91=$A32)),""))</f>
        <v>170 (Glamour)</v>
      </c>
      <c r="N32" s="13" t="str">
        <v>171 (Starter Dworzec)</v>
      </c>
      <c r="O32" s="13" t="str">
        <v>172 (Starter Przyloty)</v>
      </c>
      <c r="P32" s="13" t="str">
        <v>173 (LMDL2)</v>
      </c>
      <c r="Q32" s="13" t="str">
        <v>174 (Zoom NS)</v>
      </c>
      <c r="R32" s="13" t="str">
        <v>175 (Ministore NS)</v>
      </c>
      <c r="S32" s="13" t="str">
        <v>176 (Zoom odloty)</v>
      </c>
      <c r="T32" s="13" t="str">
        <v>177 (Spirit of Poland)</v>
      </c>
      <c r="U32" s="13" t="str">
        <v>178 (Multistore)</v>
      </c>
      <c r="V32" s="13" t="str">
        <v>179 (ZOOM)</v>
      </c>
      <c r="W32" s="13" t="str">
        <v>180 (Starter odloty)</v>
      </c>
      <c r="X32" s="13" t="str">
        <v>181 (Bestseller)</v>
      </c>
      <c r="Y32" s="13" t="str">
        <v>182 (Zoom palarnia)</v>
      </c>
      <c r="Z32" s="13" t="str">
        <v>183 (LMDL)</v>
      </c>
      <c r="AA32" s="13" t="str">
        <v>187 (Zoom NS)</v>
      </c>
      <c r="AB32" s="13" t="str">
        <v>208 (PIZZA)</v>
      </c>
      <c r="AC32" s="13" t="str">
        <v>532 (Magazyn)</v>
      </c>
      <c r="AD32" s="13" t="str">
        <v>Wszystkie lokale</v>
      </c>
      <c r="AJ32" s="13" t="str" cm="1">
        <f t="array" ref="AJ32:BG32">IF($C32="","",IFERROR(TRANSPOSE(_xlfn._xlws.FILTER(Listy!$D$2:$D$60,Listy!$C$2:$C$60=$C32)),""))</f>
        <v>Elektryczny (roczny)</v>
      </c>
      <c r="AK32" s="13" t="str">
        <v>Elektryczny (5-cio letni)</v>
      </c>
      <c r="AL32" s="13" t="str">
        <v>Systemy PPOŻ</v>
      </c>
      <c r="AM32" s="13" t="str">
        <v>Gaśnice</v>
      </c>
      <c r="AN32" s="13" t="str">
        <v>Klimatyzacja</v>
      </c>
      <c r="AO32" s="13" t="str">
        <v>Alarmy</v>
      </c>
      <c r="AP32" s="13" t="str">
        <v>Hydranty</v>
      </c>
      <c r="AQ32" s="13" t="str">
        <v xml:space="preserve">Rolety </v>
      </c>
      <c r="AR32" s="13" t="str">
        <v>Wentylacja</v>
      </c>
      <c r="AS32" s="13" t="str">
        <v>Wymiana filtrów</v>
      </c>
      <c r="AT32" s="13" t="str">
        <v>Regałów magazynowych</v>
      </c>
      <c r="AU32" s="13" t="str">
        <v>CRO</v>
      </c>
      <c r="AV32" s="13" t="str">
        <v>Mroźnia/Chłodnia</v>
      </c>
      <c r="AW32" s="13" t="str">
        <v>Regały chłodnicze</v>
      </c>
      <c r="AX32" s="13" t="str">
        <v>Separatory tłuszczu</v>
      </c>
      <c r="AY32" s="13" t="str">
        <v>Vendingi</v>
      </c>
      <c r="AZ32" s="13" t="str">
        <v>UDT (wózki widłowe, paleciaki)</v>
      </c>
      <c r="BA32" s="13" t="str">
        <v>BHP (drabiny, schodki, podesty)</v>
      </c>
      <c r="BB32" s="12" t="str">
        <v>Ansul</v>
      </c>
      <c r="BC32" s="12" t="str">
        <v>Okap</v>
      </c>
      <c r="BD32" s="12" t="str">
        <v>Brama garażowa</v>
      </c>
      <c r="BE32" s="12" t="str">
        <v>Żaluzje (gastro)</v>
      </c>
      <c r="BF32" s="12" t="str">
        <v>Bramki antykradzieżowe</v>
      </c>
      <c r="BG32" s="12" t="str">
        <v>Mycie jednostek klimatyzacji</v>
      </c>
    </row>
    <row r="33" spans="1:59" ht="25" customHeight="1" x14ac:dyDescent="0.35">
      <c r="A33" s="12" t="s">
        <v>8</v>
      </c>
      <c r="B33" s="12" t="s">
        <v>69</v>
      </c>
      <c r="C33" s="12" t="s">
        <v>93</v>
      </c>
      <c r="D33" s="12" t="s">
        <v>23</v>
      </c>
      <c r="E33" s="15">
        <v>46192</v>
      </c>
      <c r="F33" s="1">
        <v>12</v>
      </c>
      <c r="G33" s="4">
        <f t="shared" si="7"/>
        <v>46557</v>
      </c>
      <c r="H33" s="12" t="str">
        <f t="shared" ca="1" si="8"/>
        <v>OK</v>
      </c>
      <c r="I33" s="14"/>
      <c r="J33" s="1" t="e">
        <f>IF(COUNTA(A33:F143)=0,"",IF(#REF!="","BRAK PROTOKOŁU","DODANY"))</f>
        <v>#REF!</v>
      </c>
      <c r="K33" s="1"/>
      <c r="M33" s="13" t="str" cm="1">
        <f t="array" ref="M33:AD33">IF($A33="","",IFERROR(TRANSPOSE(_xlfn._xlws.FILTER(Lokale!$C$3:$C$91,Lokale!$B$3:$B$91=$A33)),""))</f>
        <v>170 (Glamour)</v>
      </c>
      <c r="N33" s="13" t="str">
        <v>171 (Starter Dworzec)</v>
      </c>
      <c r="O33" s="13" t="str">
        <v>172 (Starter Przyloty)</v>
      </c>
      <c r="P33" s="13" t="str">
        <v>173 (LMDL2)</v>
      </c>
      <c r="Q33" s="13" t="str">
        <v>174 (Zoom NS)</v>
      </c>
      <c r="R33" s="13" t="str">
        <v>175 (Ministore NS)</v>
      </c>
      <c r="S33" s="13" t="str">
        <v>176 (Zoom odloty)</v>
      </c>
      <c r="T33" s="13" t="str">
        <v>177 (Spirit of Poland)</v>
      </c>
      <c r="U33" s="13" t="str">
        <v>178 (Multistore)</v>
      </c>
      <c r="V33" s="13" t="str">
        <v>179 (ZOOM)</v>
      </c>
      <c r="W33" s="13" t="str">
        <v>180 (Starter odloty)</v>
      </c>
      <c r="X33" s="13" t="str">
        <v>181 (Bestseller)</v>
      </c>
      <c r="Y33" s="13" t="str">
        <v>182 (Zoom palarnia)</v>
      </c>
      <c r="Z33" s="13" t="str">
        <v>183 (LMDL)</v>
      </c>
      <c r="AA33" s="13" t="str">
        <v>187 (Zoom NS)</v>
      </c>
      <c r="AB33" s="13" t="str">
        <v>208 (PIZZA)</v>
      </c>
      <c r="AC33" s="13" t="str">
        <v>532 (Magazyn)</v>
      </c>
      <c r="AD33" s="13" t="str">
        <v>Wszystkie lokale</v>
      </c>
      <c r="AJ33" s="13" t="str" cm="1">
        <f t="array" ref="AJ33:BG33">IF($C33="","",IFERROR(TRANSPOSE(_xlfn._xlws.FILTER(Listy!$D$2:$D$60,Listy!$C$2:$C$60=$C33)),""))</f>
        <v>Elektryczny (roczny)</v>
      </c>
      <c r="AK33" s="13" t="str">
        <v>Elektryczny (5-cio letni)</v>
      </c>
      <c r="AL33" s="13" t="str">
        <v>Systemy PPOŻ</v>
      </c>
      <c r="AM33" s="13" t="str">
        <v>Gaśnice</v>
      </c>
      <c r="AN33" s="13" t="str">
        <v>Klimatyzacja</v>
      </c>
      <c r="AO33" s="13" t="str">
        <v>Alarmy</v>
      </c>
      <c r="AP33" s="13" t="str">
        <v>Hydranty</v>
      </c>
      <c r="AQ33" s="13" t="str">
        <v xml:space="preserve">Rolety </v>
      </c>
      <c r="AR33" s="13" t="str">
        <v>Wentylacja</v>
      </c>
      <c r="AS33" s="13" t="str">
        <v>Wymiana filtrów</v>
      </c>
      <c r="AT33" s="13" t="str">
        <v>Regałów magazynowych</v>
      </c>
      <c r="AU33" s="13" t="str">
        <v>CRO</v>
      </c>
      <c r="AV33" s="13" t="str">
        <v>Mroźnia/Chłodnia</v>
      </c>
      <c r="AW33" s="13" t="str">
        <v>Regały chłodnicze</v>
      </c>
      <c r="AX33" s="13" t="str">
        <v>Separatory tłuszczu</v>
      </c>
      <c r="AY33" s="13" t="str">
        <v>Vendingi</v>
      </c>
      <c r="AZ33" s="13" t="str">
        <v>UDT (wózki widłowe, paleciaki)</v>
      </c>
      <c r="BA33" s="13" t="str">
        <v>BHP (drabiny, schodki, podesty)</v>
      </c>
      <c r="BB33" s="12" t="str">
        <v>Ansul</v>
      </c>
      <c r="BC33" s="12" t="str">
        <v>Okap</v>
      </c>
      <c r="BD33" s="12" t="str">
        <v>Brama garażowa</v>
      </c>
      <c r="BE33" s="12" t="str">
        <v>Żaluzje (gastro)</v>
      </c>
      <c r="BF33" s="12" t="str">
        <v>Bramki antykradzieżowe</v>
      </c>
      <c r="BG33" s="12" t="str">
        <v>Mycie jednostek klimatyzacji</v>
      </c>
    </row>
    <row r="34" spans="1:59" ht="25" customHeight="1" x14ac:dyDescent="0.35">
      <c r="A34" s="12" t="s">
        <v>8</v>
      </c>
      <c r="B34" s="12" t="s">
        <v>69</v>
      </c>
      <c r="C34" s="12" t="s">
        <v>93</v>
      </c>
      <c r="D34" s="1" t="s">
        <v>76</v>
      </c>
      <c r="E34" s="15">
        <v>46192</v>
      </c>
      <c r="F34" s="1">
        <v>12</v>
      </c>
      <c r="G34" s="4">
        <f>IF(OR(E34="",F34=""),"",DATE(YEAR(E34),MONTH(E34)+F34,DAY(E34)))</f>
        <v>46557</v>
      </c>
      <c r="H34" s="12" t="str">
        <f ca="1">IF(G34="","",IF(G34&lt;TODAY(),"PO TERMINIE",IF(G34&lt;=TODAY()+14,"DO WYKONANIA","OK")))</f>
        <v>OK</v>
      </c>
      <c r="I34" s="14"/>
      <c r="J34" s="1" t="e">
        <f>IF(COUNTA(A34:F170)=0,"",IF(#REF!="","BRAK PROTOKOŁU","DODANY"))</f>
        <v>#REF!</v>
      </c>
      <c r="K34" s="1"/>
    </row>
    <row r="35" spans="1:59" ht="25" customHeight="1" x14ac:dyDescent="0.35">
      <c r="A35" s="12" t="s">
        <v>8</v>
      </c>
      <c r="B35" s="12" t="s">
        <v>69</v>
      </c>
      <c r="C35" s="12" t="s">
        <v>94</v>
      </c>
      <c r="D35" s="12" t="s">
        <v>80</v>
      </c>
      <c r="E35" s="15">
        <v>46204</v>
      </c>
      <c r="F35" s="1">
        <v>1</v>
      </c>
      <c r="G35" s="4">
        <f t="shared" ref="G35:G36" si="9">IF(OR(E35="",F35=""),"",DATE(YEAR(E35),MONTH(E35)+F35,DAY(E35)))</f>
        <v>46235</v>
      </c>
      <c r="H35" s="12" t="str">
        <f t="shared" ref="H35:H36" ca="1" si="10">IF(G35="","",IF(G35&lt;TODAY(),"PO TERMINIE",IF(G35&lt;=TODAY()+14,"DO WYKONANIA","OK")))</f>
        <v>DO WYKONANIA</v>
      </c>
      <c r="I35" s="14"/>
      <c r="J35" s="1" t="e">
        <f>IF(COUNTA(A35:F148)=0,"",IF(#REF!="","BRAK PROTOKOŁU","DODANY"))</f>
        <v>#REF!</v>
      </c>
      <c r="K35" s="1"/>
      <c r="M35" s="13" t="str" cm="1">
        <f t="array" ref="M35:AD35">IF($A35="","",IFERROR(TRANSPOSE(_xlfn._xlws.FILTER(Lokale!$C$3:$C$91,Lokale!$B$3:$B$91=$A35)),""))</f>
        <v>170 (Glamour)</v>
      </c>
      <c r="N35" s="13" t="str">
        <v>171 (Starter Dworzec)</v>
      </c>
      <c r="O35" s="13" t="str">
        <v>172 (Starter Przyloty)</v>
      </c>
      <c r="P35" s="13" t="str">
        <v>173 (LMDL2)</v>
      </c>
      <c r="Q35" s="13" t="str">
        <v>174 (Zoom NS)</v>
      </c>
      <c r="R35" s="13" t="str">
        <v>175 (Ministore NS)</v>
      </c>
      <c r="S35" s="13" t="str">
        <v>176 (Zoom odloty)</v>
      </c>
      <c r="T35" s="13" t="str">
        <v>177 (Spirit of Poland)</v>
      </c>
      <c r="U35" s="13" t="str">
        <v>178 (Multistore)</v>
      </c>
      <c r="V35" s="13" t="str">
        <v>179 (ZOOM)</v>
      </c>
      <c r="W35" s="13" t="str">
        <v>180 (Starter odloty)</v>
      </c>
      <c r="X35" s="13" t="str">
        <v>181 (Bestseller)</v>
      </c>
      <c r="Y35" s="13" t="str">
        <v>182 (Zoom palarnia)</v>
      </c>
      <c r="Z35" s="13" t="str">
        <v>183 (LMDL)</v>
      </c>
      <c r="AA35" s="13" t="str">
        <v>187 (Zoom NS)</v>
      </c>
      <c r="AB35" s="13" t="str">
        <v>208 (PIZZA)</v>
      </c>
      <c r="AC35" s="13" t="str">
        <v>532 (Magazyn)</v>
      </c>
      <c r="AD35" s="13" t="str">
        <v>Wszystkie lokale</v>
      </c>
      <c r="AJ35" s="13" t="str" cm="1">
        <f t="array" ref="AJ35:AX35">IF($C35="","",IFERROR(TRANSPOSE(_xlfn._xlws.FILTER(Listy!$D$2:$D$60,Listy!$C$2:$C$60=$C35)),""))</f>
        <v>Klamki na kod</v>
      </c>
      <c r="AK35" s="13" t="str">
        <v>Oświetlenie</v>
      </c>
      <c r="AL35" s="13" t="str">
        <v>Drzwi przeciwpożarowe</v>
      </c>
      <c r="AM35" s="13" t="str">
        <v>Drzwi na zaplecze</v>
      </c>
      <c r="AN35" s="13" t="str">
        <v>Systemy multmedialne</v>
      </c>
      <c r="AO35" s="13" t="str">
        <v>Posadzki, wykładziny</v>
      </c>
      <c r="AP35" s="13" t="str">
        <v>Kontrola kurzu</v>
      </c>
      <c r="AQ35" s="13" t="str">
        <v>Light boxy</v>
      </c>
      <c r="AR35" s="13" t="str">
        <v>Floorboxy</v>
      </c>
      <c r="AS35" s="13" t="str">
        <v>Meble</v>
      </c>
      <c r="AT35" s="13" t="str">
        <v>Szyby</v>
      </c>
      <c r="AU35" s="13" t="str">
        <v>Lampy owadobójcze</v>
      </c>
      <c r="AV35" s="13" t="str">
        <v>Samochody</v>
      </c>
      <c r="AW35" s="13" t="str">
        <v>Windy w samochodach</v>
      </c>
      <c r="AX35" s="13" t="str">
        <v>Sprawdzenie pompy odpływowej</v>
      </c>
    </row>
    <row r="36" spans="1:59" ht="25" customHeight="1" x14ac:dyDescent="0.35">
      <c r="A36" s="12" t="s">
        <v>8</v>
      </c>
      <c r="B36" s="12" t="s">
        <v>69</v>
      </c>
      <c r="C36" s="12" t="s">
        <v>93</v>
      </c>
      <c r="D36" s="12" t="s">
        <v>162</v>
      </c>
      <c r="E36" s="15">
        <v>46192</v>
      </c>
      <c r="F36" s="1">
        <v>36</v>
      </c>
      <c r="G36" s="4">
        <f t="shared" si="9"/>
        <v>47288</v>
      </c>
      <c r="H36" s="12" t="str">
        <f t="shared" ca="1" si="10"/>
        <v>OK</v>
      </c>
      <c r="I36" s="14"/>
      <c r="J36" s="1" t="e">
        <f>IF(COUNTA(A36:F156)=0,"",IF(#REF!="","BRAK PROTOKOŁU","DODANY"))</f>
        <v>#REF!</v>
      </c>
      <c r="K36" s="1"/>
      <c r="M36" s="13" t="str" cm="1">
        <f t="array" ref="M36:AD36">IF($A36="","",IFERROR(TRANSPOSE(_xlfn._xlws.FILTER(Lokale!$C$3:$C$91,Lokale!$B$3:$B$91=$A36)),""))</f>
        <v>170 (Glamour)</v>
      </c>
      <c r="N36" s="13" t="str">
        <v>171 (Starter Dworzec)</v>
      </c>
      <c r="O36" s="13" t="str">
        <v>172 (Starter Przyloty)</v>
      </c>
      <c r="P36" s="13" t="str">
        <v>173 (LMDL2)</v>
      </c>
      <c r="Q36" s="13" t="str">
        <v>174 (Zoom NS)</v>
      </c>
      <c r="R36" s="13" t="str">
        <v>175 (Ministore NS)</v>
      </c>
      <c r="S36" s="13" t="str">
        <v>176 (Zoom odloty)</v>
      </c>
      <c r="T36" s="13" t="str">
        <v>177 (Spirit of Poland)</v>
      </c>
      <c r="U36" s="13" t="str">
        <v>178 (Multistore)</v>
      </c>
      <c r="V36" s="13" t="str">
        <v>179 (ZOOM)</v>
      </c>
      <c r="W36" s="13" t="str">
        <v>180 (Starter odloty)</v>
      </c>
      <c r="X36" s="13" t="str">
        <v>181 (Bestseller)</v>
      </c>
      <c r="Y36" s="13" t="str">
        <v>182 (Zoom palarnia)</v>
      </c>
      <c r="Z36" s="13" t="str">
        <v>183 (LMDL)</v>
      </c>
      <c r="AA36" s="13" t="str">
        <v>187 (Zoom NS)</v>
      </c>
      <c r="AB36" s="13" t="str">
        <v>208 (PIZZA)</v>
      </c>
      <c r="AC36" s="13" t="str">
        <v>532 (Magazyn)</v>
      </c>
      <c r="AD36" s="13" t="str">
        <v>Wszystkie lokale</v>
      </c>
      <c r="AJ36" s="13" t="str" cm="1">
        <f t="array" ref="AJ36:BG36">IF($C36="","",IFERROR(TRANSPOSE(_xlfn._xlws.FILTER(Listy!$D$2:$D$60,Listy!$C$2:$C$60=$C36)),""))</f>
        <v>Elektryczny (roczny)</v>
      </c>
      <c r="AK36" s="13" t="str">
        <v>Elektryczny (5-cio letni)</v>
      </c>
      <c r="AL36" s="13" t="str">
        <v>Systemy PPOŻ</v>
      </c>
      <c r="AM36" s="13" t="str">
        <v>Gaśnice</v>
      </c>
      <c r="AN36" s="13" t="str">
        <v>Klimatyzacja</v>
      </c>
      <c r="AO36" s="13" t="str">
        <v>Alarmy</v>
      </c>
      <c r="AP36" s="13" t="str">
        <v>Hydranty</v>
      </c>
      <c r="AQ36" s="13" t="str">
        <v xml:space="preserve">Rolety </v>
      </c>
      <c r="AR36" s="13" t="str">
        <v>Wentylacja</v>
      </c>
      <c r="AS36" s="13" t="str">
        <v>Wymiana filtrów</v>
      </c>
      <c r="AT36" s="13" t="str">
        <v>Regałów magazynowych</v>
      </c>
      <c r="AU36" s="13" t="str">
        <v>CRO</v>
      </c>
      <c r="AV36" s="13" t="str">
        <v>Mroźnia/Chłodnia</v>
      </c>
      <c r="AW36" s="13" t="str">
        <v>Regały chłodnicze</v>
      </c>
      <c r="AX36" s="13" t="str">
        <v>Separatory tłuszczu</v>
      </c>
      <c r="AY36" s="13" t="str">
        <v>Vendingi</v>
      </c>
      <c r="AZ36" s="13" t="str">
        <v>UDT (wózki widłowe, paleciaki)</v>
      </c>
      <c r="BA36" s="13" t="str">
        <v>BHP (drabiny, schodki, podesty)</v>
      </c>
      <c r="BB36" s="12" t="str">
        <v>Ansul</v>
      </c>
      <c r="BC36" s="12" t="str">
        <v>Okap</v>
      </c>
      <c r="BD36" s="12" t="str">
        <v>Brama garażowa</v>
      </c>
      <c r="BE36" s="12" t="str">
        <v>Żaluzje (gastro)</v>
      </c>
      <c r="BF36" s="12" t="str">
        <v>Bramki antykradzieżowe</v>
      </c>
      <c r="BG36" s="12" t="str">
        <v>Mycie jednostek klimatyzacji</v>
      </c>
    </row>
    <row r="37" spans="1:59" ht="25" customHeight="1" x14ac:dyDescent="0.35">
      <c r="B37" s="1"/>
      <c r="E37" s="15"/>
      <c r="F37" s="1"/>
      <c r="G37" s="4" t="str">
        <f>IF(OR(E37="",F37=""),"",DATE(YEAR(E37),MONTH(E37)+F37,DAY(E37)))</f>
        <v/>
      </c>
      <c r="H37" s="12" t="str">
        <f ca="1">IF(G37="","",IF(G37&lt;TODAY(),"PO TERMINIE",IF(G37&lt;=TODAY()+14,"DO WYKONANIA","OK")))</f>
        <v/>
      </c>
      <c r="I37" s="14"/>
      <c r="J37" s="1" t="e">
        <f>IF(COUNTA(A37:F179)=0,"",IF(#REF!="","BRAK PROTOKOŁU","DODANY"))</f>
        <v>#REF!</v>
      </c>
      <c r="K37" s="1"/>
    </row>
    <row r="38" spans="1:59" ht="25" customHeight="1" x14ac:dyDescent="0.35">
      <c r="A38" s="12" t="s">
        <v>8</v>
      </c>
      <c r="B38" s="12" t="s">
        <v>43</v>
      </c>
      <c r="C38" s="12" t="s">
        <v>93</v>
      </c>
      <c r="D38" s="12" t="s">
        <v>85</v>
      </c>
      <c r="F38" s="1"/>
      <c r="G38" s="4" t="str">
        <f t="shared" si="4"/>
        <v/>
      </c>
      <c r="H38" s="12" t="str">
        <f t="shared" ca="1" si="1"/>
        <v/>
      </c>
      <c r="I38" s="14"/>
      <c r="J38" s="1" t="str">
        <f t="shared" si="3"/>
        <v>BRAK PROTOKOŁU</v>
      </c>
      <c r="K38" s="1"/>
      <c r="M38" s="13" t="str" cm="1">
        <f t="array" ref="M38:AD38">IF($A38="","",IFERROR(TRANSPOSE(_xlfn._xlws.FILTER(Lokale!$C$3:$C$91,Lokale!$B$3:$B$91=$A38)),""))</f>
        <v>170 (Glamour)</v>
      </c>
      <c r="N38" s="13" t="str">
        <v>171 (Starter Dworzec)</v>
      </c>
      <c r="O38" s="13" t="str">
        <v>172 (Starter Przyloty)</v>
      </c>
      <c r="P38" s="13" t="str">
        <v>173 (LMDL2)</v>
      </c>
      <c r="Q38" s="13" t="str">
        <v>174 (Zoom NS)</v>
      </c>
      <c r="R38" s="13" t="str">
        <v>175 (Ministore NS)</v>
      </c>
      <c r="S38" s="13" t="str">
        <v>176 (Zoom odloty)</v>
      </c>
      <c r="T38" s="13" t="str">
        <v>177 (Spirit of Poland)</v>
      </c>
      <c r="U38" s="13" t="str">
        <v>178 (Multistore)</v>
      </c>
      <c r="V38" s="13" t="str">
        <v>179 (ZOOM)</v>
      </c>
      <c r="W38" s="13" t="str">
        <v>180 (Starter odloty)</v>
      </c>
      <c r="X38" s="13" t="str">
        <v>181 (Bestseller)</v>
      </c>
      <c r="Y38" s="13" t="str">
        <v>182 (Zoom palarnia)</v>
      </c>
      <c r="Z38" s="13" t="str">
        <v>183 (LMDL)</v>
      </c>
      <c r="AA38" s="13" t="str">
        <v>187 (Zoom NS)</v>
      </c>
      <c r="AB38" s="13" t="str">
        <v>208 (PIZZA)</v>
      </c>
      <c r="AC38" s="13" t="str">
        <v>532 (Magazyn)</v>
      </c>
      <c r="AD38" s="13" t="str">
        <v>Wszystkie lokale</v>
      </c>
      <c r="AJ38" s="13" t="str" cm="1">
        <f t="array" ref="AJ38:BG38">IF($C38="","",IFERROR(TRANSPOSE(_xlfn._xlws.FILTER(Listy!$D$2:$D$60,Listy!$C$2:$C$60=$C38)),""))</f>
        <v>Elektryczny (roczny)</v>
      </c>
      <c r="AK38" s="13" t="str">
        <v>Elektryczny (5-cio letni)</v>
      </c>
      <c r="AL38" s="13" t="str">
        <v>Systemy PPOŻ</v>
      </c>
      <c r="AM38" s="13" t="str">
        <v>Gaśnice</v>
      </c>
      <c r="AN38" s="13" t="str">
        <v>Klimatyzacja</v>
      </c>
      <c r="AO38" s="13" t="str">
        <v>Alarmy</v>
      </c>
      <c r="AP38" s="13" t="str">
        <v>Hydranty</v>
      </c>
      <c r="AQ38" s="13" t="str">
        <v xml:space="preserve">Rolety </v>
      </c>
      <c r="AR38" s="13" t="str">
        <v>Wentylacja</v>
      </c>
      <c r="AS38" s="13" t="str">
        <v>Wymiana filtrów</v>
      </c>
      <c r="AT38" s="13" t="str">
        <v>Regałów magazynowych</v>
      </c>
      <c r="AU38" s="13" t="str">
        <v>CRO</v>
      </c>
      <c r="AV38" s="13" t="str">
        <v>Mroźnia/Chłodnia</v>
      </c>
      <c r="AW38" s="13" t="str">
        <v>Regały chłodnicze</v>
      </c>
      <c r="AX38" s="13" t="str">
        <v>Separatory tłuszczu</v>
      </c>
      <c r="AY38" s="13" t="str">
        <v>Vendingi</v>
      </c>
      <c r="AZ38" s="13" t="str">
        <v>UDT (wózki widłowe, paleciaki)</v>
      </c>
      <c r="BA38" s="13" t="str">
        <v>BHP (drabiny, schodki, podesty)</v>
      </c>
      <c r="BB38" s="12" t="str">
        <v>Ansul</v>
      </c>
      <c r="BC38" s="12" t="str">
        <v>Okap</v>
      </c>
      <c r="BD38" s="12" t="str">
        <v>Brama garażowa</v>
      </c>
      <c r="BE38" s="12" t="str">
        <v>Żaluzje (gastro)</v>
      </c>
      <c r="BF38" s="12" t="str">
        <v>Bramki antykradzieżowe</v>
      </c>
      <c r="BG38" s="12" t="str">
        <v>Mycie jednostek klimatyzacji</v>
      </c>
    </row>
    <row r="39" spans="1:59" ht="25" customHeight="1" x14ac:dyDescent="0.35">
      <c r="A39" s="12" t="s">
        <v>8</v>
      </c>
      <c r="B39" s="12" t="s">
        <v>43</v>
      </c>
      <c r="C39" s="12" t="s">
        <v>93</v>
      </c>
      <c r="D39" s="12" t="s">
        <v>86</v>
      </c>
      <c r="F39" s="1"/>
      <c r="G39" s="4" t="str">
        <f t="shared" si="4"/>
        <v/>
      </c>
      <c r="H39" s="12" t="str">
        <f t="shared" ca="1" si="1"/>
        <v/>
      </c>
      <c r="I39" s="14"/>
      <c r="J39" s="1" t="str">
        <f>IF(COUNTA(A39:F39)=0,"",IF(I39="","BRAK PROTOKOŁU","DODANY"))</f>
        <v>BRAK PROTOKOŁU</v>
      </c>
      <c r="K39" s="1"/>
      <c r="M39" s="13" t="str" cm="1">
        <f t="array" ref="M39:AD39">IF($A39="","",IFERROR(TRANSPOSE(_xlfn._xlws.FILTER(Lokale!$C$3:$C$91,Lokale!$B$3:$B$91=$A39)),""))</f>
        <v>170 (Glamour)</v>
      </c>
      <c r="N39" s="13" t="str">
        <v>171 (Starter Dworzec)</v>
      </c>
      <c r="O39" s="13" t="str">
        <v>172 (Starter Przyloty)</v>
      </c>
      <c r="P39" s="13" t="str">
        <v>173 (LMDL2)</v>
      </c>
      <c r="Q39" s="13" t="str">
        <v>174 (Zoom NS)</v>
      </c>
      <c r="R39" s="13" t="str">
        <v>175 (Ministore NS)</v>
      </c>
      <c r="S39" s="13" t="str">
        <v>176 (Zoom odloty)</v>
      </c>
      <c r="T39" s="13" t="str">
        <v>177 (Spirit of Poland)</v>
      </c>
      <c r="U39" s="13" t="str">
        <v>178 (Multistore)</v>
      </c>
      <c r="V39" s="13" t="str">
        <v>179 (ZOOM)</v>
      </c>
      <c r="W39" s="13" t="str">
        <v>180 (Starter odloty)</v>
      </c>
      <c r="X39" s="13" t="str">
        <v>181 (Bestseller)</v>
      </c>
      <c r="Y39" s="13" t="str">
        <v>182 (Zoom palarnia)</v>
      </c>
      <c r="Z39" s="13" t="str">
        <v>183 (LMDL)</v>
      </c>
      <c r="AA39" s="13" t="str">
        <v>187 (Zoom NS)</v>
      </c>
      <c r="AB39" s="13" t="str">
        <v>208 (PIZZA)</v>
      </c>
      <c r="AC39" s="13" t="str">
        <v>532 (Magazyn)</v>
      </c>
      <c r="AD39" s="13" t="str">
        <v>Wszystkie lokale</v>
      </c>
      <c r="AJ39" s="13" t="str" cm="1">
        <f t="array" ref="AJ39:BG39">IF($C39="","",IFERROR(TRANSPOSE(_xlfn._xlws.FILTER(Listy!$D$2:$D$60,Listy!$C$2:$C$60=$C39)),""))</f>
        <v>Elektryczny (roczny)</v>
      </c>
      <c r="AK39" s="13" t="str">
        <v>Elektryczny (5-cio letni)</v>
      </c>
      <c r="AL39" s="13" t="str">
        <v>Systemy PPOŻ</v>
      </c>
      <c r="AM39" s="13" t="str">
        <v>Gaśnice</v>
      </c>
      <c r="AN39" s="13" t="str">
        <v>Klimatyzacja</v>
      </c>
      <c r="AO39" s="13" t="str">
        <v>Alarmy</v>
      </c>
      <c r="AP39" s="13" t="str">
        <v>Hydranty</v>
      </c>
      <c r="AQ39" s="13" t="str">
        <v xml:space="preserve">Rolety </v>
      </c>
      <c r="AR39" s="13" t="str">
        <v>Wentylacja</v>
      </c>
      <c r="AS39" s="13" t="str">
        <v>Wymiana filtrów</v>
      </c>
      <c r="AT39" s="13" t="str">
        <v>Regałów magazynowych</v>
      </c>
      <c r="AU39" s="13" t="str">
        <v>CRO</v>
      </c>
      <c r="AV39" s="13" t="str">
        <v>Mroźnia/Chłodnia</v>
      </c>
      <c r="AW39" s="13" t="str">
        <v>Regały chłodnicze</v>
      </c>
      <c r="AX39" s="13" t="str">
        <v>Separatory tłuszczu</v>
      </c>
      <c r="AY39" s="13" t="str">
        <v>Vendingi</v>
      </c>
      <c r="AZ39" s="13" t="str">
        <v>UDT (wózki widłowe, paleciaki)</v>
      </c>
      <c r="BA39" s="13" t="str">
        <v>BHP (drabiny, schodki, podesty)</v>
      </c>
      <c r="BB39" s="12" t="str">
        <v>Ansul</v>
      </c>
      <c r="BC39" s="12" t="str">
        <v>Okap</v>
      </c>
      <c r="BD39" s="12" t="str">
        <v>Brama garażowa</v>
      </c>
      <c r="BE39" s="12" t="str">
        <v>Żaluzje (gastro)</v>
      </c>
      <c r="BF39" s="12" t="str">
        <v>Bramki antykradzieżowe</v>
      </c>
      <c r="BG39" s="12" t="str">
        <v>Mycie jednostek klimatyzacji</v>
      </c>
    </row>
    <row r="40" spans="1:59" ht="25" customHeight="1" x14ac:dyDescent="0.35">
      <c r="A40" s="12" t="s">
        <v>8</v>
      </c>
      <c r="B40" s="12" t="s">
        <v>43</v>
      </c>
      <c r="C40" s="12" t="s">
        <v>93</v>
      </c>
      <c r="D40" s="12" t="s">
        <v>99</v>
      </c>
      <c r="F40" s="1"/>
      <c r="G40" s="4" t="str">
        <f t="shared" si="4"/>
        <v/>
      </c>
      <c r="H40" s="12" t="str">
        <f t="shared" ca="1" si="1"/>
        <v/>
      </c>
      <c r="I40" s="14"/>
      <c r="J40" s="1" t="str">
        <f t="shared" si="3"/>
        <v>BRAK PROTOKOŁU</v>
      </c>
      <c r="K40" s="1"/>
      <c r="M40" s="13" t="str" cm="1">
        <f t="array" ref="M40:AD40">IF($A40="","",IFERROR(TRANSPOSE(_xlfn._xlws.FILTER(Lokale!$C$3:$C$91,Lokale!$B$3:$B$91=$A40)),""))</f>
        <v>170 (Glamour)</v>
      </c>
      <c r="N40" s="13" t="str">
        <v>171 (Starter Dworzec)</v>
      </c>
      <c r="O40" s="13" t="str">
        <v>172 (Starter Przyloty)</v>
      </c>
      <c r="P40" s="13" t="str">
        <v>173 (LMDL2)</v>
      </c>
      <c r="Q40" s="13" t="str">
        <v>174 (Zoom NS)</v>
      </c>
      <c r="R40" s="13" t="str">
        <v>175 (Ministore NS)</v>
      </c>
      <c r="S40" s="13" t="str">
        <v>176 (Zoom odloty)</v>
      </c>
      <c r="T40" s="13" t="str">
        <v>177 (Spirit of Poland)</v>
      </c>
      <c r="U40" s="13" t="str">
        <v>178 (Multistore)</v>
      </c>
      <c r="V40" s="13" t="str">
        <v>179 (ZOOM)</v>
      </c>
      <c r="W40" s="13" t="str">
        <v>180 (Starter odloty)</v>
      </c>
      <c r="X40" s="13" t="str">
        <v>181 (Bestseller)</v>
      </c>
      <c r="Y40" s="13" t="str">
        <v>182 (Zoom palarnia)</v>
      </c>
      <c r="Z40" s="13" t="str">
        <v>183 (LMDL)</v>
      </c>
      <c r="AA40" s="13" t="str">
        <v>187 (Zoom NS)</v>
      </c>
      <c r="AB40" s="13" t="str">
        <v>208 (PIZZA)</v>
      </c>
      <c r="AC40" s="13" t="str">
        <v>532 (Magazyn)</v>
      </c>
      <c r="AD40" s="13" t="str">
        <v>Wszystkie lokale</v>
      </c>
      <c r="AJ40" s="13" t="str" cm="1">
        <f t="array" ref="AJ40:BG40">IF($C40="","",IFERROR(TRANSPOSE(_xlfn._xlws.FILTER(Listy!$D$2:$D$60,Listy!$C$2:$C$60=$C40)),""))</f>
        <v>Elektryczny (roczny)</v>
      </c>
      <c r="AK40" s="13" t="str">
        <v>Elektryczny (5-cio letni)</v>
      </c>
      <c r="AL40" s="13" t="str">
        <v>Systemy PPOŻ</v>
      </c>
      <c r="AM40" s="13" t="str">
        <v>Gaśnice</v>
      </c>
      <c r="AN40" s="13" t="str">
        <v>Klimatyzacja</v>
      </c>
      <c r="AO40" s="13" t="str">
        <v>Alarmy</v>
      </c>
      <c r="AP40" s="13" t="str">
        <v>Hydranty</v>
      </c>
      <c r="AQ40" s="13" t="str">
        <v xml:space="preserve">Rolety </v>
      </c>
      <c r="AR40" s="13" t="str">
        <v>Wentylacja</v>
      </c>
      <c r="AS40" s="13" t="str">
        <v>Wymiana filtrów</v>
      </c>
      <c r="AT40" s="13" t="str">
        <v>Regałów magazynowych</v>
      </c>
      <c r="AU40" s="13" t="str">
        <v>CRO</v>
      </c>
      <c r="AV40" s="13" t="str">
        <v>Mroźnia/Chłodnia</v>
      </c>
      <c r="AW40" s="13" t="str">
        <v>Regały chłodnicze</v>
      </c>
      <c r="AX40" s="13" t="str">
        <v>Separatory tłuszczu</v>
      </c>
      <c r="AY40" s="13" t="str">
        <v>Vendingi</v>
      </c>
      <c r="AZ40" s="13" t="str">
        <v>UDT (wózki widłowe, paleciaki)</v>
      </c>
      <c r="BA40" s="13" t="str">
        <v>BHP (drabiny, schodki, podesty)</v>
      </c>
      <c r="BB40" s="12" t="str">
        <v>Ansul</v>
      </c>
      <c r="BC40" s="12" t="str">
        <v>Okap</v>
      </c>
      <c r="BD40" s="12" t="str">
        <v>Brama garażowa</v>
      </c>
      <c r="BE40" s="12" t="str">
        <v>Żaluzje (gastro)</v>
      </c>
      <c r="BF40" s="12" t="str">
        <v>Bramki antykradzieżowe</v>
      </c>
      <c r="BG40" s="12" t="str">
        <v>Mycie jednostek klimatyzacji</v>
      </c>
    </row>
    <row r="41" spans="1:59" ht="25" customHeight="1" x14ac:dyDescent="0.35">
      <c r="A41" s="12" t="s">
        <v>8</v>
      </c>
      <c r="B41" s="12" t="s">
        <v>43</v>
      </c>
      <c r="C41" s="12" t="s">
        <v>93</v>
      </c>
      <c r="D41" s="12" t="s">
        <v>22</v>
      </c>
      <c r="E41" s="15">
        <v>46176</v>
      </c>
      <c r="F41" s="1">
        <v>3</v>
      </c>
      <c r="G41" s="4">
        <f t="shared" si="4"/>
        <v>46268</v>
      </c>
      <c r="H41" s="12" t="str">
        <f t="shared" ca="1" si="1"/>
        <v>OK</v>
      </c>
      <c r="I41" s="14"/>
      <c r="J41" s="1" t="str">
        <f t="shared" si="3"/>
        <v>BRAK PROTOKOŁU</v>
      </c>
      <c r="K41" s="1"/>
      <c r="M41" s="13" t="str" cm="1">
        <f t="array" ref="M41:AD41">IF($A41="","",IFERROR(TRANSPOSE(_xlfn._xlws.FILTER(Lokale!$C$3:$C$91,Lokale!$B$3:$B$91=$A41)),""))</f>
        <v>170 (Glamour)</v>
      </c>
      <c r="N41" s="13" t="str">
        <v>171 (Starter Dworzec)</v>
      </c>
      <c r="O41" s="13" t="str">
        <v>172 (Starter Przyloty)</v>
      </c>
      <c r="P41" s="13" t="str">
        <v>173 (LMDL2)</v>
      </c>
      <c r="Q41" s="13" t="str">
        <v>174 (Zoom NS)</v>
      </c>
      <c r="R41" s="13" t="str">
        <v>175 (Ministore NS)</v>
      </c>
      <c r="S41" s="13" t="str">
        <v>176 (Zoom odloty)</v>
      </c>
      <c r="T41" s="13" t="str">
        <v>177 (Spirit of Poland)</v>
      </c>
      <c r="U41" s="13" t="str">
        <v>178 (Multistore)</v>
      </c>
      <c r="V41" s="13" t="str">
        <v>179 (ZOOM)</v>
      </c>
      <c r="W41" s="13" t="str">
        <v>180 (Starter odloty)</v>
      </c>
      <c r="X41" s="13" t="str">
        <v>181 (Bestseller)</v>
      </c>
      <c r="Y41" s="13" t="str">
        <v>182 (Zoom palarnia)</v>
      </c>
      <c r="Z41" s="13" t="str">
        <v>183 (LMDL)</v>
      </c>
      <c r="AA41" s="13" t="str">
        <v>187 (Zoom NS)</v>
      </c>
      <c r="AB41" s="13" t="str">
        <v>208 (PIZZA)</v>
      </c>
      <c r="AC41" s="13" t="str">
        <v>532 (Magazyn)</v>
      </c>
      <c r="AD41" s="13" t="str">
        <v>Wszystkie lokale</v>
      </c>
      <c r="AJ41" s="13" t="str" cm="1">
        <f t="array" ref="AJ41:BG41">IF($C41="","",IFERROR(TRANSPOSE(_xlfn._xlws.FILTER(Listy!$D$2:$D$60,Listy!$C$2:$C$60=$C41)),""))</f>
        <v>Elektryczny (roczny)</v>
      </c>
      <c r="AK41" s="13" t="str">
        <v>Elektryczny (5-cio letni)</v>
      </c>
      <c r="AL41" s="13" t="str">
        <v>Systemy PPOŻ</v>
      </c>
      <c r="AM41" s="13" t="str">
        <v>Gaśnice</v>
      </c>
      <c r="AN41" s="13" t="str">
        <v>Klimatyzacja</v>
      </c>
      <c r="AO41" s="13" t="str">
        <v>Alarmy</v>
      </c>
      <c r="AP41" s="13" t="str">
        <v>Hydranty</v>
      </c>
      <c r="AQ41" s="13" t="str">
        <v xml:space="preserve">Rolety </v>
      </c>
      <c r="AR41" s="13" t="str">
        <v>Wentylacja</v>
      </c>
      <c r="AS41" s="13" t="str">
        <v>Wymiana filtrów</v>
      </c>
      <c r="AT41" s="13" t="str">
        <v>Regałów magazynowych</v>
      </c>
      <c r="AU41" s="13" t="str">
        <v>CRO</v>
      </c>
      <c r="AV41" s="13" t="str">
        <v>Mroźnia/Chłodnia</v>
      </c>
      <c r="AW41" s="13" t="str">
        <v>Regały chłodnicze</v>
      </c>
      <c r="AX41" s="13" t="str">
        <v>Separatory tłuszczu</v>
      </c>
      <c r="AY41" s="13" t="str">
        <v>Vendingi</v>
      </c>
      <c r="AZ41" s="13" t="str">
        <v>UDT (wózki widłowe, paleciaki)</v>
      </c>
      <c r="BA41" s="13" t="str">
        <v>BHP (drabiny, schodki, podesty)</v>
      </c>
      <c r="BB41" s="12" t="str">
        <v>Ansul</v>
      </c>
      <c r="BC41" s="12" t="str">
        <v>Okap</v>
      </c>
      <c r="BD41" s="12" t="str">
        <v>Brama garażowa</v>
      </c>
      <c r="BE41" s="12" t="str">
        <v>Żaluzje (gastro)</v>
      </c>
      <c r="BF41" s="12" t="str">
        <v>Bramki antykradzieżowe</v>
      </c>
      <c r="BG41" s="12" t="str">
        <v>Mycie jednostek klimatyzacji</v>
      </c>
    </row>
    <row r="42" spans="1:59" ht="25" customHeight="1" x14ac:dyDescent="0.35">
      <c r="A42" s="12" t="s">
        <v>8</v>
      </c>
      <c r="B42" s="12" t="s">
        <v>43</v>
      </c>
      <c r="C42" s="12" t="s">
        <v>93</v>
      </c>
      <c r="D42" s="12" t="s">
        <v>96</v>
      </c>
      <c r="F42" s="1"/>
      <c r="G42" s="4" t="str">
        <f t="shared" si="4"/>
        <v/>
      </c>
      <c r="H42" s="12" t="str">
        <f t="shared" ca="1" si="1"/>
        <v/>
      </c>
      <c r="I42" s="14"/>
      <c r="J42" s="1" t="str">
        <f t="shared" si="3"/>
        <v>BRAK PROTOKOŁU</v>
      </c>
      <c r="K42" s="1"/>
      <c r="M42" s="13" t="str" cm="1">
        <f t="array" ref="M42:AD42">IF($A42="","",IFERROR(TRANSPOSE(_xlfn._xlws.FILTER(Lokale!$C$3:$C$91,Lokale!$B$3:$B$91=$A42)),""))</f>
        <v>170 (Glamour)</v>
      </c>
      <c r="N42" s="13" t="str">
        <v>171 (Starter Dworzec)</v>
      </c>
      <c r="O42" s="13" t="str">
        <v>172 (Starter Przyloty)</v>
      </c>
      <c r="P42" s="13" t="str">
        <v>173 (LMDL2)</v>
      </c>
      <c r="Q42" s="13" t="str">
        <v>174 (Zoom NS)</v>
      </c>
      <c r="R42" s="13" t="str">
        <v>175 (Ministore NS)</v>
      </c>
      <c r="S42" s="13" t="str">
        <v>176 (Zoom odloty)</v>
      </c>
      <c r="T42" s="13" t="str">
        <v>177 (Spirit of Poland)</v>
      </c>
      <c r="U42" s="13" t="str">
        <v>178 (Multistore)</v>
      </c>
      <c r="V42" s="13" t="str">
        <v>179 (ZOOM)</v>
      </c>
      <c r="W42" s="13" t="str">
        <v>180 (Starter odloty)</v>
      </c>
      <c r="X42" s="13" t="str">
        <v>181 (Bestseller)</v>
      </c>
      <c r="Y42" s="13" t="str">
        <v>182 (Zoom palarnia)</v>
      </c>
      <c r="Z42" s="13" t="str">
        <v>183 (LMDL)</v>
      </c>
      <c r="AA42" s="13" t="str">
        <v>187 (Zoom NS)</v>
      </c>
      <c r="AB42" s="13" t="str">
        <v>208 (PIZZA)</v>
      </c>
      <c r="AC42" s="13" t="str">
        <v>532 (Magazyn)</v>
      </c>
      <c r="AD42" s="13" t="str">
        <v>Wszystkie lokale</v>
      </c>
      <c r="AJ42" s="13" t="str" cm="1">
        <f t="array" ref="AJ42:BG42">IF($C42="","",IFERROR(TRANSPOSE(_xlfn._xlws.FILTER(Listy!$D$2:$D$60,Listy!$C$2:$C$60=$C42)),""))</f>
        <v>Elektryczny (roczny)</v>
      </c>
      <c r="AK42" s="13" t="str">
        <v>Elektryczny (5-cio letni)</v>
      </c>
      <c r="AL42" s="13" t="str">
        <v>Systemy PPOŻ</v>
      </c>
      <c r="AM42" s="13" t="str">
        <v>Gaśnice</v>
      </c>
      <c r="AN42" s="13" t="str">
        <v>Klimatyzacja</v>
      </c>
      <c r="AO42" s="13" t="str">
        <v>Alarmy</v>
      </c>
      <c r="AP42" s="13" t="str">
        <v>Hydranty</v>
      </c>
      <c r="AQ42" s="13" t="str">
        <v xml:space="preserve">Rolety </v>
      </c>
      <c r="AR42" s="13" t="str">
        <v>Wentylacja</v>
      </c>
      <c r="AS42" s="13" t="str">
        <v>Wymiana filtrów</v>
      </c>
      <c r="AT42" s="13" t="str">
        <v>Regałów magazynowych</v>
      </c>
      <c r="AU42" s="13" t="str">
        <v>CRO</v>
      </c>
      <c r="AV42" s="13" t="str">
        <v>Mroźnia/Chłodnia</v>
      </c>
      <c r="AW42" s="13" t="str">
        <v>Regały chłodnicze</v>
      </c>
      <c r="AX42" s="13" t="str">
        <v>Separatory tłuszczu</v>
      </c>
      <c r="AY42" s="13" t="str">
        <v>Vendingi</v>
      </c>
      <c r="AZ42" s="13" t="str">
        <v>UDT (wózki widłowe, paleciaki)</v>
      </c>
      <c r="BA42" s="13" t="str">
        <v>BHP (drabiny, schodki, podesty)</v>
      </c>
      <c r="BB42" s="12" t="str">
        <v>Ansul</v>
      </c>
      <c r="BC42" s="12" t="str">
        <v>Okap</v>
      </c>
      <c r="BD42" s="12" t="str">
        <v>Brama garażowa</v>
      </c>
      <c r="BE42" s="12" t="str">
        <v>Żaluzje (gastro)</v>
      </c>
      <c r="BF42" s="12" t="str">
        <v>Bramki antykradzieżowe</v>
      </c>
      <c r="BG42" s="12" t="str">
        <v>Mycie jednostek klimatyzacji</v>
      </c>
    </row>
    <row r="43" spans="1:59" ht="25" customHeight="1" x14ac:dyDescent="0.35">
      <c r="A43" s="12" t="s">
        <v>8</v>
      </c>
      <c r="B43" s="12" t="s">
        <v>43</v>
      </c>
      <c r="C43" s="12" t="s">
        <v>93</v>
      </c>
      <c r="D43" s="12" t="s">
        <v>105</v>
      </c>
      <c r="F43" s="1"/>
      <c r="G43" s="4" t="str">
        <f t="shared" si="4"/>
        <v/>
      </c>
      <c r="H43" s="12" t="str">
        <f t="shared" ca="1" si="1"/>
        <v/>
      </c>
      <c r="I43" s="14"/>
      <c r="J43" s="1" t="str">
        <f t="shared" si="3"/>
        <v>BRAK PROTOKOŁU</v>
      </c>
      <c r="K43" s="1"/>
      <c r="M43" s="13" t="str" cm="1">
        <f t="array" ref="M43:AD43">IF($A43="","",IFERROR(TRANSPOSE(_xlfn._xlws.FILTER(Lokale!$C$3:$C$91,Lokale!$B$3:$B$91=$A43)),""))</f>
        <v>170 (Glamour)</v>
      </c>
      <c r="N43" s="13" t="str">
        <v>171 (Starter Dworzec)</v>
      </c>
      <c r="O43" s="13" t="str">
        <v>172 (Starter Przyloty)</v>
      </c>
      <c r="P43" s="13" t="str">
        <v>173 (LMDL2)</v>
      </c>
      <c r="Q43" s="13" t="str">
        <v>174 (Zoom NS)</v>
      </c>
      <c r="R43" s="13" t="str">
        <v>175 (Ministore NS)</v>
      </c>
      <c r="S43" s="13" t="str">
        <v>176 (Zoom odloty)</v>
      </c>
      <c r="T43" s="13" t="str">
        <v>177 (Spirit of Poland)</v>
      </c>
      <c r="U43" s="13" t="str">
        <v>178 (Multistore)</v>
      </c>
      <c r="V43" s="13" t="str">
        <v>179 (ZOOM)</v>
      </c>
      <c r="W43" s="13" t="str">
        <v>180 (Starter odloty)</v>
      </c>
      <c r="X43" s="13" t="str">
        <v>181 (Bestseller)</v>
      </c>
      <c r="Y43" s="13" t="str">
        <v>182 (Zoom palarnia)</v>
      </c>
      <c r="Z43" s="13" t="str">
        <v>183 (LMDL)</v>
      </c>
      <c r="AA43" s="13" t="str">
        <v>187 (Zoom NS)</v>
      </c>
      <c r="AB43" s="13" t="str">
        <v>208 (PIZZA)</v>
      </c>
      <c r="AC43" s="13" t="str">
        <v>532 (Magazyn)</v>
      </c>
      <c r="AD43" s="13" t="str">
        <v>Wszystkie lokale</v>
      </c>
      <c r="AJ43" s="13" t="str" cm="1">
        <f t="array" ref="AJ43:BG43">IF($C43="","",IFERROR(TRANSPOSE(_xlfn._xlws.FILTER(Listy!$D$2:$D$60,Listy!$C$2:$C$60=$C43)),""))</f>
        <v>Elektryczny (roczny)</v>
      </c>
      <c r="AK43" s="13" t="str">
        <v>Elektryczny (5-cio letni)</v>
      </c>
      <c r="AL43" s="13" t="str">
        <v>Systemy PPOŻ</v>
      </c>
      <c r="AM43" s="13" t="str">
        <v>Gaśnice</v>
      </c>
      <c r="AN43" s="13" t="str">
        <v>Klimatyzacja</v>
      </c>
      <c r="AO43" s="13" t="str">
        <v>Alarmy</v>
      </c>
      <c r="AP43" s="13" t="str">
        <v>Hydranty</v>
      </c>
      <c r="AQ43" s="13" t="str">
        <v xml:space="preserve">Rolety </v>
      </c>
      <c r="AR43" s="13" t="str">
        <v>Wentylacja</v>
      </c>
      <c r="AS43" s="13" t="str">
        <v>Wymiana filtrów</v>
      </c>
      <c r="AT43" s="13" t="str">
        <v>Regałów magazynowych</v>
      </c>
      <c r="AU43" s="13" t="str">
        <v>CRO</v>
      </c>
      <c r="AV43" s="13" t="str">
        <v>Mroźnia/Chłodnia</v>
      </c>
      <c r="AW43" s="13" t="str">
        <v>Regały chłodnicze</v>
      </c>
      <c r="AX43" s="13" t="str">
        <v>Separatory tłuszczu</v>
      </c>
      <c r="AY43" s="13" t="str">
        <v>Vendingi</v>
      </c>
      <c r="AZ43" s="13" t="str">
        <v>UDT (wózki widłowe, paleciaki)</v>
      </c>
      <c r="BA43" s="13" t="str">
        <v>BHP (drabiny, schodki, podesty)</v>
      </c>
      <c r="BB43" s="12" t="str">
        <v>Ansul</v>
      </c>
      <c r="BC43" s="12" t="str">
        <v>Okap</v>
      </c>
      <c r="BD43" s="12" t="str">
        <v>Brama garażowa</v>
      </c>
      <c r="BE43" s="12" t="str">
        <v>Żaluzje (gastro)</v>
      </c>
      <c r="BF43" s="12" t="str">
        <v>Bramki antykradzieżowe</v>
      </c>
      <c r="BG43" s="12" t="str">
        <v>Mycie jednostek klimatyzacji</v>
      </c>
    </row>
    <row r="44" spans="1:59" ht="25" customHeight="1" x14ac:dyDescent="0.35">
      <c r="A44" s="12" t="s">
        <v>8</v>
      </c>
      <c r="B44" s="12" t="s">
        <v>43</v>
      </c>
      <c r="C44" s="12" t="s">
        <v>93</v>
      </c>
      <c r="D44" s="12" t="s">
        <v>77</v>
      </c>
      <c r="F44" s="1"/>
      <c r="G44" s="4" t="str">
        <f t="shared" si="4"/>
        <v/>
      </c>
      <c r="H44" s="12" t="str">
        <f t="shared" ca="1" si="1"/>
        <v/>
      </c>
      <c r="I44" s="14"/>
      <c r="J44" s="1" t="str">
        <f t="shared" si="3"/>
        <v>BRAK PROTOKOŁU</v>
      </c>
      <c r="K44" s="1"/>
      <c r="M44" s="13" t="str" cm="1">
        <f t="array" ref="M44:AD44">IF($A44="","",IFERROR(TRANSPOSE(_xlfn._xlws.FILTER(Lokale!$C$3:$C$91,Lokale!$B$3:$B$91=$A44)),""))</f>
        <v>170 (Glamour)</v>
      </c>
      <c r="N44" s="13" t="str">
        <v>171 (Starter Dworzec)</v>
      </c>
      <c r="O44" s="13" t="str">
        <v>172 (Starter Przyloty)</v>
      </c>
      <c r="P44" s="13" t="str">
        <v>173 (LMDL2)</v>
      </c>
      <c r="Q44" s="13" t="str">
        <v>174 (Zoom NS)</v>
      </c>
      <c r="R44" s="13" t="str">
        <v>175 (Ministore NS)</v>
      </c>
      <c r="S44" s="13" t="str">
        <v>176 (Zoom odloty)</v>
      </c>
      <c r="T44" s="13" t="str">
        <v>177 (Spirit of Poland)</v>
      </c>
      <c r="U44" s="13" t="str">
        <v>178 (Multistore)</v>
      </c>
      <c r="V44" s="13" t="str">
        <v>179 (ZOOM)</v>
      </c>
      <c r="W44" s="13" t="str">
        <v>180 (Starter odloty)</v>
      </c>
      <c r="X44" s="13" t="str">
        <v>181 (Bestseller)</v>
      </c>
      <c r="Y44" s="13" t="str">
        <v>182 (Zoom palarnia)</v>
      </c>
      <c r="Z44" s="13" t="str">
        <v>183 (LMDL)</v>
      </c>
      <c r="AA44" s="13" t="str">
        <v>187 (Zoom NS)</v>
      </c>
      <c r="AB44" s="13" t="str">
        <v>208 (PIZZA)</v>
      </c>
      <c r="AC44" s="13" t="str">
        <v>532 (Magazyn)</v>
      </c>
      <c r="AD44" s="13" t="str">
        <v>Wszystkie lokale</v>
      </c>
      <c r="AJ44" s="13" t="str" cm="1">
        <f t="array" ref="AJ44:BG44">IF($C44="","",IFERROR(TRANSPOSE(_xlfn._xlws.FILTER(Listy!$D$2:$D$60,Listy!$C$2:$C$60=$C44)),""))</f>
        <v>Elektryczny (roczny)</v>
      </c>
      <c r="AK44" s="13" t="str">
        <v>Elektryczny (5-cio letni)</v>
      </c>
      <c r="AL44" s="13" t="str">
        <v>Systemy PPOŻ</v>
      </c>
      <c r="AM44" s="13" t="str">
        <v>Gaśnice</v>
      </c>
      <c r="AN44" s="13" t="str">
        <v>Klimatyzacja</v>
      </c>
      <c r="AO44" s="13" t="str">
        <v>Alarmy</v>
      </c>
      <c r="AP44" s="13" t="str">
        <v>Hydranty</v>
      </c>
      <c r="AQ44" s="13" t="str">
        <v xml:space="preserve">Rolety </v>
      </c>
      <c r="AR44" s="13" t="str">
        <v>Wentylacja</v>
      </c>
      <c r="AS44" s="13" t="str">
        <v>Wymiana filtrów</v>
      </c>
      <c r="AT44" s="13" t="str">
        <v>Regałów magazynowych</v>
      </c>
      <c r="AU44" s="13" t="str">
        <v>CRO</v>
      </c>
      <c r="AV44" s="13" t="str">
        <v>Mroźnia/Chłodnia</v>
      </c>
      <c r="AW44" s="13" t="str">
        <v>Regały chłodnicze</v>
      </c>
      <c r="AX44" s="13" t="str">
        <v>Separatory tłuszczu</v>
      </c>
      <c r="AY44" s="13" t="str">
        <v>Vendingi</v>
      </c>
      <c r="AZ44" s="13" t="str">
        <v>UDT (wózki widłowe, paleciaki)</v>
      </c>
      <c r="BA44" s="13" t="str">
        <v>BHP (drabiny, schodki, podesty)</v>
      </c>
      <c r="BB44" s="12" t="str">
        <v>Ansul</v>
      </c>
      <c r="BC44" s="12" t="str">
        <v>Okap</v>
      </c>
      <c r="BD44" s="12" t="str">
        <v>Brama garażowa</v>
      </c>
      <c r="BE44" s="12" t="str">
        <v>Żaluzje (gastro)</v>
      </c>
      <c r="BF44" s="12" t="str">
        <v>Bramki antykradzieżowe</v>
      </c>
      <c r="BG44" s="12" t="str">
        <v>Mycie jednostek klimatyzacji</v>
      </c>
    </row>
    <row r="45" spans="1:59" ht="25" customHeight="1" x14ac:dyDescent="0.35">
      <c r="A45" s="12" t="s">
        <v>8</v>
      </c>
      <c r="B45" s="12" t="s">
        <v>43</v>
      </c>
      <c r="C45" s="12" t="s">
        <v>93</v>
      </c>
      <c r="D45" s="12" t="s">
        <v>87</v>
      </c>
      <c r="F45" s="1"/>
      <c r="G45" s="4" t="str">
        <f t="shared" si="4"/>
        <v/>
      </c>
      <c r="H45" s="12" t="str">
        <f t="shared" ca="1" si="1"/>
        <v/>
      </c>
      <c r="I45" s="14"/>
      <c r="J45" s="1" t="str">
        <f t="shared" si="3"/>
        <v>BRAK PROTOKOŁU</v>
      </c>
      <c r="K45" s="1"/>
      <c r="M45" s="13" t="str" cm="1">
        <f t="array" ref="M45:AD45">IF($A45="","",IFERROR(TRANSPOSE(_xlfn._xlws.FILTER(Lokale!$C$3:$C$91,Lokale!$B$3:$B$91=$A45)),""))</f>
        <v>170 (Glamour)</v>
      </c>
      <c r="N45" s="13" t="str">
        <v>171 (Starter Dworzec)</v>
      </c>
      <c r="O45" s="13" t="str">
        <v>172 (Starter Przyloty)</v>
      </c>
      <c r="P45" s="13" t="str">
        <v>173 (LMDL2)</v>
      </c>
      <c r="Q45" s="13" t="str">
        <v>174 (Zoom NS)</v>
      </c>
      <c r="R45" s="13" t="str">
        <v>175 (Ministore NS)</v>
      </c>
      <c r="S45" s="13" t="str">
        <v>176 (Zoom odloty)</v>
      </c>
      <c r="T45" s="13" t="str">
        <v>177 (Spirit of Poland)</v>
      </c>
      <c r="U45" s="13" t="str">
        <v>178 (Multistore)</v>
      </c>
      <c r="V45" s="13" t="str">
        <v>179 (ZOOM)</v>
      </c>
      <c r="W45" s="13" t="str">
        <v>180 (Starter odloty)</v>
      </c>
      <c r="X45" s="13" t="str">
        <v>181 (Bestseller)</v>
      </c>
      <c r="Y45" s="13" t="str">
        <v>182 (Zoom palarnia)</v>
      </c>
      <c r="Z45" s="13" t="str">
        <v>183 (LMDL)</v>
      </c>
      <c r="AA45" s="13" t="str">
        <v>187 (Zoom NS)</v>
      </c>
      <c r="AB45" s="13" t="str">
        <v>208 (PIZZA)</v>
      </c>
      <c r="AC45" s="13" t="str">
        <v>532 (Magazyn)</v>
      </c>
      <c r="AD45" s="13" t="str">
        <v>Wszystkie lokale</v>
      </c>
      <c r="AJ45" s="13" t="str" cm="1">
        <f t="array" ref="AJ45:BG45">IF($C45="","",IFERROR(TRANSPOSE(_xlfn._xlws.FILTER(Listy!$D$2:$D$60,Listy!$C$2:$C$60=$C45)),""))</f>
        <v>Elektryczny (roczny)</v>
      </c>
      <c r="AK45" s="13" t="str">
        <v>Elektryczny (5-cio letni)</v>
      </c>
      <c r="AL45" s="13" t="str">
        <v>Systemy PPOŻ</v>
      </c>
      <c r="AM45" s="13" t="str">
        <v>Gaśnice</v>
      </c>
      <c r="AN45" s="13" t="str">
        <v>Klimatyzacja</v>
      </c>
      <c r="AO45" s="13" t="str">
        <v>Alarmy</v>
      </c>
      <c r="AP45" s="13" t="str">
        <v>Hydranty</v>
      </c>
      <c r="AQ45" s="13" t="str">
        <v xml:space="preserve">Rolety </v>
      </c>
      <c r="AR45" s="13" t="str">
        <v>Wentylacja</v>
      </c>
      <c r="AS45" s="13" t="str">
        <v>Wymiana filtrów</v>
      </c>
      <c r="AT45" s="13" t="str">
        <v>Regałów magazynowych</v>
      </c>
      <c r="AU45" s="13" t="str">
        <v>CRO</v>
      </c>
      <c r="AV45" s="13" t="str">
        <v>Mroźnia/Chłodnia</v>
      </c>
      <c r="AW45" s="13" t="str">
        <v>Regały chłodnicze</v>
      </c>
      <c r="AX45" s="13" t="str">
        <v>Separatory tłuszczu</v>
      </c>
      <c r="AY45" s="13" t="str">
        <v>Vendingi</v>
      </c>
      <c r="AZ45" s="13" t="str">
        <v>UDT (wózki widłowe, paleciaki)</v>
      </c>
      <c r="BA45" s="13" t="str">
        <v>BHP (drabiny, schodki, podesty)</v>
      </c>
      <c r="BB45" s="12" t="str">
        <v>Ansul</v>
      </c>
      <c r="BC45" s="12" t="str">
        <v>Okap</v>
      </c>
      <c r="BD45" s="12" t="str">
        <v>Brama garażowa</v>
      </c>
      <c r="BE45" s="12" t="str">
        <v>Żaluzje (gastro)</v>
      </c>
      <c r="BF45" s="12" t="str">
        <v>Bramki antykradzieżowe</v>
      </c>
      <c r="BG45" s="12" t="str">
        <v>Mycie jednostek klimatyzacji</v>
      </c>
    </row>
    <row r="46" spans="1:59" ht="25" customHeight="1" x14ac:dyDescent="0.35">
      <c r="A46" s="12" t="s">
        <v>8</v>
      </c>
      <c r="B46" s="12" t="s">
        <v>43</v>
      </c>
      <c r="C46" s="12" t="s">
        <v>93</v>
      </c>
      <c r="D46" s="12" t="s">
        <v>23</v>
      </c>
      <c r="F46" s="1"/>
      <c r="G46" s="4" t="str">
        <f t="shared" si="4"/>
        <v/>
      </c>
      <c r="H46" s="12" t="str">
        <f t="shared" ca="1" si="1"/>
        <v/>
      </c>
      <c r="I46" s="14"/>
      <c r="J46" s="1" t="str">
        <f t="shared" si="3"/>
        <v>BRAK PROTOKOŁU</v>
      </c>
      <c r="K46" s="1"/>
      <c r="M46" s="13" t="str" cm="1">
        <f t="array" ref="M46:AD46">IF($A46="","",IFERROR(TRANSPOSE(_xlfn._xlws.FILTER(Lokale!$C$3:$C$91,Lokale!$B$3:$B$91=$A46)),""))</f>
        <v>170 (Glamour)</v>
      </c>
      <c r="N46" s="13" t="str">
        <v>171 (Starter Dworzec)</v>
      </c>
      <c r="O46" s="13" t="str">
        <v>172 (Starter Przyloty)</v>
      </c>
      <c r="P46" s="13" t="str">
        <v>173 (LMDL2)</v>
      </c>
      <c r="Q46" s="13" t="str">
        <v>174 (Zoom NS)</v>
      </c>
      <c r="R46" s="13" t="str">
        <v>175 (Ministore NS)</v>
      </c>
      <c r="S46" s="13" t="str">
        <v>176 (Zoom odloty)</v>
      </c>
      <c r="T46" s="13" t="str">
        <v>177 (Spirit of Poland)</v>
      </c>
      <c r="U46" s="13" t="str">
        <v>178 (Multistore)</v>
      </c>
      <c r="V46" s="13" t="str">
        <v>179 (ZOOM)</v>
      </c>
      <c r="W46" s="13" t="str">
        <v>180 (Starter odloty)</v>
      </c>
      <c r="X46" s="13" t="str">
        <v>181 (Bestseller)</v>
      </c>
      <c r="Y46" s="13" t="str">
        <v>182 (Zoom palarnia)</v>
      </c>
      <c r="Z46" s="13" t="str">
        <v>183 (LMDL)</v>
      </c>
      <c r="AA46" s="13" t="str">
        <v>187 (Zoom NS)</v>
      </c>
      <c r="AB46" s="13" t="str">
        <v>208 (PIZZA)</v>
      </c>
      <c r="AC46" s="13" t="str">
        <v>532 (Magazyn)</v>
      </c>
      <c r="AD46" s="13" t="str">
        <v>Wszystkie lokale</v>
      </c>
      <c r="AJ46" s="13" t="str" cm="1">
        <f t="array" ref="AJ46:BG46">IF($C46="","",IFERROR(TRANSPOSE(_xlfn._xlws.FILTER(Listy!$D$2:$D$60,Listy!$C$2:$C$60=$C46)),""))</f>
        <v>Elektryczny (roczny)</v>
      </c>
      <c r="AK46" s="13" t="str">
        <v>Elektryczny (5-cio letni)</v>
      </c>
      <c r="AL46" s="13" t="str">
        <v>Systemy PPOŻ</v>
      </c>
      <c r="AM46" s="13" t="str">
        <v>Gaśnice</v>
      </c>
      <c r="AN46" s="13" t="str">
        <v>Klimatyzacja</v>
      </c>
      <c r="AO46" s="13" t="str">
        <v>Alarmy</v>
      </c>
      <c r="AP46" s="13" t="str">
        <v>Hydranty</v>
      </c>
      <c r="AQ46" s="13" t="str">
        <v xml:space="preserve">Rolety </v>
      </c>
      <c r="AR46" s="13" t="str">
        <v>Wentylacja</v>
      </c>
      <c r="AS46" s="13" t="str">
        <v>Wymiana filtrów</v>
      </c>
      <c r="AT46" s="13" t="str">
        <v>Regałów magazynowych</v>
      </c>
      <c r="AU46" s="13" t="str">
        <v>CRO</v>
      </c>
      <c r="AV46" s="13" t="str">
        <v>Mroźnia/Chłodnia</v>
      </c>
      <c r="AW46" s="13" t="str">
        <v>Regały chłodnicze</v>
      </c>
      <c r="AX46" s="13" t="str">
        <v>Separatory tłuszczu</v>
      </c>
      <c r="AY46" s="13" t="str">
        <v>Vendingi</v>
      </c>
      <c r="AZ46" s="13" t="str">
        <v>UDT (wózki widłowe, paleciaki)</v>
      </c>
      <c r="BA46" s="13" t="str">
        <v>BHP (drabiny, schodki, podesty)</v>
      </c>
      <c r="BB46" s="12" t="str">
        <v>Ansul</v>
      </c>
      <c r="BC46" s="12" t="str">
        <v>Okap</v>
      </c>
      <c r="BD46" s="12" t="str">
        <v>Brama garażowa</v>
      </c>
      <c r="BE46" s="12" t="str">
        <v>Żaluzje (gastro)</v>
      </c>
      <c r="BF46" s="12" t="str">
        <v>Bramki antykradzieżowe</v>
      </c>
      <c r="BG46" s="12" t="str">
        <v>Mycie jednostek klimatyzacji</v>
      </c>
    </row>
    <row r="47" spans="1:59" ht="25" customHeight="1" x14ac:dyDescent="0.35">
      <c r="A47" s="12" t="s">
        <v>8</v>
      </c>
      <c r="B47" s="12" t="s">
        <v>43</v>
      </c>
      <c r="C47" s="12" t="s">
        <v>93</v>
      </c>
      <c r="D47" s="12" t="s">
        <v>76</v>
      </c>
      <c r="F47" s="1"/>
      <c r="G47" s="4" t="str">
        <f t="shared" si="4"/>
        <v/>
      </c>
      <c r="H47" s="12" t="str">
        <f t="shared" ca="1" si="1"/>
        <v/>
      </c>
      <c r="I47" s="14"/>
      <c r="J47" s="1" t="str">
        <f t="shared" si="3"/>
        <v>BRAK PROTOKOŁU</v>
      </c>
      <c r="K47" s="1"/>
      <c r="M47" s="13" t="str" cm="1">
        <f t="array" ref="M47:AD47">IF($A47="","",IFERROR(TRANSPOSE(_xlfn._xlws.FILTER(Lokale!$C$3:$C$91,Lokale!$B$3:$B$91=$A47)),""))</f>
        <v>170 (Glamour)</v>
      </c>
      <c r="N47" s="13" t="str">
        <v>171 (Starter Dworzec)</v>
      </c>
      <c r="O47" s="13" t="str">
        <v>172 (Starter Przyloty)</v>
      </c>
      <c r="P47" s="13" t="str">
        <v>173 (LMDL2)</v>
      </c>
      <c r="Q47" s="13" t="str">
        <v>174 (Zoom NS)</v>
      </c>
      <c r="R47" s="13" t="str">
        <v>175 (Ministore NS)</v>
      </c>
      <c r="S47" s="13" t="str">
        <v>176 (Zoom odloty)</v>
      </c>
      <c r="T47" s="13" t="str">
        <v>177 (Spirit of Poland)</v>
      </c>
      <c r="U47" s="13" t="str">
        <v>178 (Multistore)</v>
      </c>
      <c r="V47" s="13" t="str">
        <v>179 (ZOOM)</v>
      </c>
      <c r="W47" s="13" t="str">
        <v>180 (Starter odloty)</v>
      </c>
      <c r="X47" s="13" t="str">
        <v>181 (Bestseller)</v>
      </c>
      <c r="Y47" s="13" t="str">
        <v>182 (Zoom palarnia)</v>
      </c>
      <c r="Z47" s="13" t="str">
        <v>183 (LMDL)</v>
      </c>
      <c r="AA47" s="13" t="str">
        <v>187 (Zoom NS)</v>
      </c>
      <c r="AB47" s="13" t="str">
        <v>208 (PIZZA)</v>
      </c>
      <c r="AC47" s="13" t="str">
        <v>532 (Magazyn)</v>
      </c>
      <c r="AD47" s="13" t="str">
        <v>Wszystkie lokale</v>
      </c>
      <c r="AJ47" s="13" t="str" cm="1">
        <f t="array" ref="AJ47:BG47">IF($C47="","",IFERROR(TRANSPOSE(_xlfn._xlws.FILTER(Listy!$D$2:$D$60,Listy!$C$2:$C$60=$C47)),""))</f>
        <v>Elektryczny (roczny)</v>
      </c>
      <c r="AK47" s="13" t="str">
        <v>Elektryczny (5-cio letni)</v>
      </c>
      <c r="AL47" s="13" t="str">
        <v>Systemy PPOŻ</v>
      </c>
      <c r="AM47" s="13" t="str">
        <v>Gaśnice</v>
      </c>
      <c r="AN47" s="13" t="str">
        <v>Klimatyzacja</v>
      </c>
      <c r="AO47" s="13" t="str">
        <v>Alarmy</v>
      </c>
      <c r="AP47" s="13" t="str">
        <v>Hydranty</v>
      </c>
      <c r="AQ47" s="13" t="str">
        <v xml:space="preserve">Rolety </v>
      </c>
      <c r="AR47" s="13" t="str">
        <v>Wentylacja</v>
      </c>
      <c r="AS47" s="13" t="str">
        <v>Wymiana filtrów</v>
      </c>
      <c r="AT47" s="13" t="str">
        <v>Regałów magazynowych</v>
      </c>
      <c r="AU47" s="13" t="str">
        <v>CRO</v>
      </c>
      <c r="AV47" s="13" t="str">
        <v>Mroźnia/Chłodnia</v>
      </c>
      <c r="AW47" s="13" t="str">
        <v>Regały chłodnicze</v>
      </c>
      <c r="AX47" s="13" t="str">
        <v>Separatory tłuszczu</v>
      </c>
      <c r="AY47" s="13" t="str">
        <v>Vendingi</v>
      </c>
      <c r="AZ47" s="13" t="str">
        <v>UDT (wózki widłowe, paleciaki)</v>
      </c>
      <c r="BA47" s="13" t="str">
        <v>BHP (drabiny, schodki, podesty)</v>
      </c>
      <c r="BB47" s="12" t="str">
        <v>Ansul</v>
      </c>
      <c r="BC47" s="12" t="str">
        <v>Okap</v>
      </c>
      <c r="BD47" s="12" t="str">
        <v>Brama garażowa</v>
      </c>
      <c r="BE47" s="12" t="str">
        <v>Żaluzje (gastro)</v>
      </c>
      <c r="BF47" s="12" t="str">
        <v>Bramki antykradzieżowe</v>
      </c>
      <c r="BG47" s="12" t="str">
        <v>Mycie jednostek klimatyzacji</v>
      </c>
    </row>
    <row r="48" spans="1:59" ht="25" customHeight="1" x14ac:dyDescent="0.35">
      <c r="A48" s="12" t="s">
        <v>8</v>
      </c>
      <c r="B48" s="12" t="s">
        <v>43</v>
      </c>
      <c r="C48" s="12" t="s">
        <v>93</v>
      </c>
      <c r="D48" s="12" t="s">
        <v>84</v>
      </c>
      <c r="F48" s="1"/>
      <c r="G48" s="4" t="str">
        <f t="shared" si="4"/>
        <v/>
      </c>
      <c r="H48" s="12" t="str">
        <f t="shared" ca="1" si="1"/>
        <v/>
      </c>
      <c r="I48" s="14"/>
      <c r="J48" s="1" t="str">
        <f t="shared" si="3"/>
        <v>BRAK PROTOKOŁU</v>
      </c>
      <c r="K48" s="1"/>
      <c r="M48" s="13" t="str" cm="1">
        <f t="array" ref="M48:AD48">IF($A48="","",IFERROR(TRANSPOSE(_xlfn._xlws.FILTER(Lokale!$C$3:$C$91,Lokale!$B$3:$B$91=$A48)),""))</f>
        <v>170 (Glamour)</v>
      </c>
      <c r="N48" s="13" t="str">
        <v>171 (Starter Dworzec)</v>
      </c>
      <c r="O48" s="13" t="str">
        <v>172 (Starter Przyloty)</v>
      </c>
      <c r="P48" s="13" t="str">
        <v>173 (LMDL2)</v>
      </c>
      <c r="Q48" s="13" t="str">
        <v>174 (Zoom NS)</v>
      </c>
      <c r="R48" s="13" t="str">
        <v>175 (Ministore NS)</v>
      </c>
      <c r="S48" s="13" t="str">
        <v>176 (Zoom odloty)</v>
      </c>
      <c r="T48" s="13" t="str">
        <v>177 (Spirit of Poland)</v>
      </c>
      <c r="U48" s="13" t="str">
        <v>178 (Multistore)</v>
      </c>
      <c r="V48" s="13" t="str">
        <v>179 (ZOOM)</v>
      </c>
      <c r="W48" s="13" t="str">
        <v>180 (Starter odloty)</v>
      </c>
      <c r="X48" s="13" t="str">
        <v>181 (Bestseller)</v>
      </c>
      <c r="Y48" s="13" t="str">
        <v>182 (Zoom palarnia)</v>
      </c>
      <c r="Z48" s="13" t="str">
        <v>183 (LMDL)</v>
      </c>
      <c r="AA48" s="13" t="str">
        <v>187 (Zoom NS)</v>
      </c>
      <c r="AB48" s="13" t="str">
        <v>208 (PIZZA)</v>
      </c>
      <c r="AC48" s="13" t="str">
        <v>532 (Magazyn)</v>
      </c>
      <c r="AD48" s="13" t="str">
        <v>Wszystkie lokale</v>
      </c>
      <c r="AJ48" s="13" t="str" cm="1">
        <f t="array" ref="AJ48:BG48">IF($C48="","",IFERROR(TRANSPOSE(_xlfn._xlws.FILTER(Listy!$D$2:$D$60,Listy!$C$2:$C$60=$C48)),""))</f>
        <v>Elektryczny (roczny)</v>
      </c>
      <c r="AK48" s="13" t="str">
        <v>Elektryczny (5-cio letni)</v>
      </c>
      <c r="AL48" s="13" t="str">
        <v>Systemy PPOŻ</v>
      </c>
      <c r="AM48" s="13" t="str">
        <v>Gaśnice</v>
      </c>
      <c r="AN48" s="13" t="str">
        <v>Klimatyzacja</v>
      </c>
      <c r="AO48" s="13" t="str">
        <v>Alarmy</v>
      </c>
      <c r="AP48" s="13" t="str">
        <v>Hydranty</v>
      </c>
      <c r="AQ48" s="13" t="str">
        <v xml:space="preserve">Rolety </v>
      </c>
      <c r="AR48" s="13" t="str">
        <v>Wentylacja</v>
      </c>
      <c r="AS48" s="13" t="str">
        <v>Wymiana filtrów</v>
      </c>
      <c r="AT48" s="13" t="str">
        <v>Regałów magazynowych</v>
      </c>
      <c r="AU48" s="13" t="str">
        <v>CRO</v>
      </c>
      <c r="AV48" s="13" t="str">
        <v>Mroźnia/Chłodnia</v>
      </c>
      <c r="AW48" s="13" t="str">
        <v>Regały chłodnicze</v>
      </c>
      <c r="AX48" s="13" t="str">
        <v>Separatory tłuszczu</v>
      </c>
      <c r="AY48" s="13" t="str">
        <v>Vendingi</v>
      </c>
      <c r="AZ48" s="13" t="str">
        <v>UDT (wózki widłowe, paleciaki)</v>
      </c>
      <c r="BA48" s="13" t="str">
        <v>BHP (drabiny, schodki, podesty)</v>
      </c>
      <c r="BB48" s="12" t="str">
        <v>Ansul</v>
      </c>
      <c r="BC48" s="12" t="str">
        <v>Okap</v>
      </c>
      <c r="BD48" s="12" t="str">
        <v>Brama garażowa</v>
      </c>
      <c r="BE48" s="12" t="str">
        <v>Żaluzje (gastro)</v>
      </c>
      <c r="BF48" s="12" t="str">
        <v>Bramki antykradzieżowe</v>
      </c>
      <c r="BG48" s="12" t="str">
        <v>Mycie jednostek klimatyzacji</v>
      </c>
    </row>
    <row r="49" spans="1:59" ht="25" customHeight="1" x14ac:dyDescent="0.35">
      <c r="A49" s="12" t="s">
        <v>8</v>
      </c>
      <c r="B49" s="12" t="s">
        <v>43</v>
      </c>
      <c r="C49" s="12" t="s">
        <v>94</v>
      </c>
      <c r="D49" s="12" t="s">
        <v>80</v>
      </c>
      <c r="F49" s="1"/>
      <c r="G49" s="4" t="str">
        <f t="shared" si="4"/>
        <v/>
      </c>
      <c r="H49" s="12" t="str">
        <f t="shared" ca="1" si="1"/>
        <v/>
      </c>
      <c r="I49" s="14"/>
      <c r="J49" s="1" t="str">
        <f t="shared" si="3"/>
        <v>BRAK PROTOKOŁU</v>
      </c>
      <c r="K49" s="1"/>
      <c r="M49" s="13" t="str" cm="1">
        <f t="array" ref="M49:AD49">IF($A49="","",IFERROR(TRANSPOSE(_xlfn._xlws.FILTER(Lokale!$C$3:$C$91,Lokale!$B$3:$B$91=$A49)),""))</f>
        <v>170 (Glamour)</v>
      </c>
      <c r="N49" s="13" t="str">
        <v>171 (Starter Dworzec)</v>
      </c>
      <c r="O49" s="13" t="str">
        <v>172 (Starter Przyloty)</v>
      </c>
      <c r="P49" s="13" t="str">
        <v>173 (LMDL2)</v>
      </c>
      <c r="Q49" s="13" t="str">
        <v>174 (Zoom NS)</v>
      </c>
      <c r="R49" s="13" t="str">
        <v>175 (Ministore NS)</v>
      </c>
      <c r="S49" s="13" t="str">
        <v>176 (Zoom odloty)</v>
      </c>
      <c r="T49" s="13" t="str">
        <v>177 (Spirit of Poland)</v>
      </c>
      <c r="U49" s="13" t="str">
        <v>178 (Multistore)</v>
      </c>
      <c r="V49" s="13" t="str">
        <v>179 (ZOOM)</v>
      </c>
      <c r="W49" s="13" t="str">
        <v>180 (Starter odloty)</v>
      </c>
      <c r="X49" s="13" t="str">
        <v>181 (Bestseller)</v>
      </c>
      <c r="Y49" s="13" t="str">
        <v>182 (Zoom palarnia)</v>
      </c>
      <c r="Z49" s="13" t="str">
        <v>183 (LMDL)</v>
      </c>
      <c r="AA49" s="13" t="str">
        <v>187 (Zoom NS)</v>
      </c>
      <c r="AB49" s="13" t="str">
        <v>208 (PIZZA)</v>
      </c>
      <c r="AC49" s="13" t="str">
        <v>532 (Magazyn)</v>
      </c>
      <c r="AD49" s="13" t="str">
        <v>Wszystkie lokale</v>
      </c>
      <c r="AJ49" s="13" t="str" cm="1">
        <f t="array" ref="AJ49:AX49">IF($C49="","",IFERROR(TRANSPOSE(_xlfn._xlws.FILTER(Listy!$D$2:$D$60,Listy!$C$2:$C$60=$C49)),""))</f>
        <v>Klamki na kod</v>
      </c>
      <c r="AK49" s="13" t="str">
        <v>Oświetlenie</v>
      </c>
      <c r="AL49" s="13" t="str">
        <v>Drzwi przeciwpożarowe</v>
      </c>
      <c r="AM49" s="13" t="str">
        <v>Drzwi na zaplecze</v>
      </c>
      <c r="AN49" s="13" t="str">
        <v>Systemy multmedialne</v>
      </c>
      <c r="AO49" s="13" t="str">
        <v>Posadzki, wykładziny</v>
      </c>
      <c r="AP49" s="13" t="str">
        <v>Kontrola kurzu</v>
      </c>
      <c r="AQ49" s="13" t="str">
        <v>Light boxy</v>
      </c>
      <c r="AR49" s="13" t="str">
        <v>Floorboxy</v>
      </c>
      <c r="AS49" s="13" t="str">
        <v>Meble</v>
      </c>
      <c r="AT49" s="13" t="str">
        <v>Szyby</v>
      </c>
      <c r="AU49" s="13" t="str">
        <v>Lampy owadobójcze</v>
      </c>
      <c r="AV49" s="13" t="str">
        <v>Samochody</v>
      </c>
      <c r="AW49" s="13" t="str">
        <v>Windy w samochodach</v>
      </c>
      <c r="AX49" s="13" t="str">
        <v>Sprawdzenie pompy odpływowej</v>
      </c>
    </row>
    <row r="50" spans="1:59" ht="25" customHeight="1" x14ac:dyDescent="0.35">
      <c r="A50" s="12" t="s">
        <v>8</v>
      </c>
      <c r="B50" s="12" t="s">
        <v>43</v>
      </c>
      <c r="C50" s="12" t="s">
        <v>94</v>
      </c>
      <c r="D50" s="12" t="s">
        <v>79</v>
      </c>
      <c r="F50" s="1"/>
      <c r="G50" s="4" t="str">
        <f t="shared" si="4"/>
        <v/>
      </c>
      <c r="H50" s="12" t="str">
        <f t="shared" ref="H50:H87" ca="1" si="11">IF(G50="","",IF(G50&lt;TODAY(),"PO TERMINIE",IF(G50&lt;=TODAY()+14,"DO WYKONANIA","OK")))</f>
        <v/>
      </c>
      <c r="I50" s="14"/>
      <c r="J50" s="1" t="str">
        <f t="shared" si="3"/>
        <v>BRAK PROTOKOŁU</v>
      </c>
      <c r="K50" s="1"/>
      <c r="M50" s="13" t="str" cm="1">
        <f t="array" ref="M50:AD50">IF($A50="","",IFERROR(TRANSPOSE(_xlfn._xlws.FILTER(Lokale!$C$3:$C$91,Lokale!$B$3:$B$91=$A50)),""))</f>
        <v>170 (Glamour)</v>
      </c>
      <c r="N50" s="13" t="str">
        <v>171 (Starter Dworzec)</v>
      </c>
      <c r="O50" s="13" t="str">
        <v>172 (Starter Przyloty)</v>
      </c>
      <c r="P50" s="13" t="str">
        <v>173 (LMDL2)</v>
      </c>
      <c r="Q50" s="13" t="str">
        <v>174 (Zoom NS)</v>
      </c>
      <c r="R50" s="13" t="str">
        <v>175 (Ministore NS)</v>
      </c>
      <c r="S50" s="13" t="str">
        <v>176 (Zoom odloty)</v>
      </c>
      <c r="T50" s="13" t="str">
        <v>177 (Spirit of Poland)</v>
      </c>
      <c r="U50" s="13" t="str">
        <v>178 (Multistore)</v>
      </c>
      <c r="V50" s="13" t="str">
        <v>179 (ZOOM)</v>
      </c>
      <c r="W50" s="13" t="str">
        <v>180 (Starter odloty)</v>
      </c>
      <c r="X50" s="13" t="str">
        <v>181 (Bestseller)</v>
      </c>
      <c r="Y50" s="13" t="str">
        <v>182 (Zoom palarnia)</v>
      </c>
      <c r="Z50" s="13" t="str">
        <v>183 (LMDL)</v>
      </c>
      <c r="AA50" s="13" t="str">
        <v>187 (Zoom NS)</v>
      </c>
      <c r="AB50" s="13" t="str">
        <v>208 (PIZZA)</v>
      </c>
      <c r="AC50" s="13" t="str">
        <v>532 (Magazyn)</v>
      </c>
      <c r="AD50" s="13" t="str">
        <v>Wszystkie lokale</v>
      </c>
      <c r="AJ50" s="13" t="str" cm="1">
        <f t="array" ref="AJ50:AX50">IF($C50="","",IFERROR(TRANSPOSE(_xlfn._xlws.FILTER(Listy!$D$2:$D$60,Listy!$C$2:$C$60=$C50)),""))</f>
        <v>Klamki na kod</v>
      </c>
      <c r="AK50" s="13" t="str">
        <v>Oświetlenie</v>
      </c>
      <c r="AL50" s="13" t="str">
        <v>Drzwi przeciwpożarowe</v>
      </c>
      <c r="AM50" s="13" t="str">
        <v>Drzwi na zaplecze</v>
      </c>
      <c r="AN50" s="13" t="str">
        <v>Systemy multmedialne</v>
      </c>
      <c r="AO50" s="13" t="str">
        <v>Posadzki, wykładziny</v>
      </c>
      <c r="AP50" s="13" t="str">
        <v>Kontrola kurzu</v>
      </c>
      <c r="AQ50" s="13" t="str">
        <v>Light boxy</v>
      </c>
      <c r="AR50" s="13" t="str">
        <v>Floorboxy</v>
      </c>
      <c r="AS50" s="13" t="str">
        <v>Meble</v>
      </c>
      <c r="AT50" s="13" t="str">
        <v>Szyby</v>
      </c>
      <c r="AU50" s="13" t="str">
        <v>Lampy owadobójcze</v>
      </c>
      <c r="AV50" s="13" t="str">
        <v>Samochody</v>
      </c>
      <c r="AW50" s="13" t="str">
        <v>Windy w samochodach</v>
      </c>
      <c r="AX50" s="13" t="str">
        <v>Sprawdzenie pompy odpływowej</v>
      </c>
    </row>
    <row r="51" spans="1:59" ht="25" customHeight="1" x14ac:dyDescent="0.35">
      <c r="A51" s="12" t="s">
        <v>8</v>
      </c>
      <c r="B51" s="12" t="s">
        <v>43</v>
      </c>
      <c r="C51" s="12" t="s">
        <v>94</v>
      </c>
      <c r="D51" s="12" t="s">
        <v>83</v>
      </c>
      <c r="F51" s="1"/>
      <c r="G51" s="4" t="str">
        <f t="shared" si="4"/>
        <v/>
      </c>
      <c r="H51" s="12" t="str">
        <f t="shared" ca="1" si="11"/>
        <v/>
      </c>
      <c r="I51" s="14"/>
      <c r="J51" s="1" t="str">
        <f t="shared" si="3"/>
        <v>BRAK PROTOKOŁU</v>
      </c>
      <c r="K51" s="1"/>
      <c r="M51" s="13" t="str" cm="1">
        <f t="array" ref="M51:AD51">IF($A51="","",IFERROR(TRANSPOSE(_xlfn._xlws.FILTER(Lokale!$C$3:$C$91,Lokale!$B$3:$B$91=$A51)),""))</f>
        <v>170 (Glamour)</v>
      </c>
      <c r="N51" s="13" t="str">
        <v>171 (Starter Dworzec)</v>
      </c>
      <c r="O51" s="13" t="str">
        <v>172 (Starter Przyloty)</v>
      </c>
      <c r="P51" s="13" t="str">
        <v>173 (LMDL2)</v>
      </c>
      <c r="Q51" s="13" t="str">
        <v>174 (Zoom NS)</v>
      </c>
      <c r="R51" s="13" t="str">
        <v>175 (Ministore NS)</v>
      </c>
      <c r="S51" s="13" t="str">
        <v>176 (Zoom odloty)</v>
      </c>
      <c r="T51" s="13" t="str">
        <v>177 (Spirit of Poland)</v>
      </c>
      <c r="U51" s="13" t="str">
        <v>178 (Multistore)</v>
      </c>
      <c r="V51" s="13" t="str">
        <v>179 (ZOOM)</v>
      </c>
      <c r="W51" s="13" t="str">
        <v>180 (Starter odloty)</v>
      </c>
      <c r="X51" s="13" t="str">
        <v>181 (Bestseller)</v>
      </c>
      <c r="Y51" s="13" t="str">
        <v>182 (Zoom palarnia)</v>
      </c>
      <c r="Z51" s="13" t="str">
        <v>183 (LMDL)</v>
      </c>
      <c r="AA51" s="13" t="str">
        <v>187 (Zoom NS)</v>
      </c>
      <c r="AB51" s="13" t="str">
        <v>208 (PIZZA)</v>
      </c>
      <c r="AC51" s="13" t="str">
        <v>532 (Magazyn)</v>
      </c>
      <c r="AD51" s="13" t="str">
        <v>Wszystkie lokale</v>
      </c>
      <c r="AJ51" s="13" t="str" cm="1">
        <f t="array" ref="AJ51:AX51">IF($C51="","",IFERROR(TRANSPOSE(_xlfn._xlws.FILTER(Listy!$D$2:$D$60,Listy!$C$2:$C$60=$C51)),""))</f>
        <v>Klamki na kod</v>
      </c>
      <c r="AK51" s="13" t="str">
        <v>Oświetlenie</v>
      </c>
      <c r="AL51" s="13" t="str">
        <v>Drzwi przeciwpożarowe</v>
      </c>
      <c r="AM51" s="13" t="str">
        <v>Drzwi na zaplecze</v>
      </c>
      <c r="AN51" s="13" t="str">
        <v>Systemy multmedialne</v>
      </c>
      <c r="AO51" s="13" t="str">
        <v>Posadzki, wykładziny</v>
      </c>
      <c r="AP51" s="13" t="str">
        <v>Kontrola kurzu</v>
      </c>
      <c r="AQ51" s="13" t="str">
        <v>Light boxy</v>
      </c>
      <c r="AR51" s="13" t="str">
        <v>Floorboxy</v>
      </c>
      <c r="AS51" s="13" t="str">
        <v>Meble</v>
      </c>
      <c r="AT51" s="13" t="str">
        <v>Szyby</v>
      </c>
      <c r="AU51" s="13" t="str">
        <v>Lampy owadobójcze</v>
      </c>
      <c r="AV51" s="13" t="str">
        <v>Samochody</v>
      </c>
      <c r="AW51" s="13" t="str">
        <v>Windy w samochodach</v>
      </c>
      <c r="AX51" s="13" t="str">
        <v>Sprawdzenie pompy odpływowej</v>
      </c>
    </row>
    <row r="52" spans="1:59" ht="25" customHeight="1" x14ac:dyDescent="0.35">
      <c r="A52" s="12" t="s">
        <v>8</v>
      </c>
      <c r="B52" s="12" t="s">
        <v>43</v>
      </c>
      <c r="C52" s="12" t="s">
        <v>94</v>
      </c>
      <c r="D52" s="12" t="s">
        <v>89</v>
      </c>
      <c r="F52" s="1"/>
      <c r="G52" s="4" t="str">
        <f t="shared" si="4"/>
        <v/>
      </c>
      <c r="H52" s="12" t="str">
        <f t="shared" ca="1" si="11"/>
        <v/>
      </c>
      <c r="I52" s="14"/>
      <c r="J52" s="1" t="str">
        <f t="shared" si="3"/>
        <v>BRAK PROTOKOŁU</v>
      </c>
      <c r="K52" s="1"/>
      <c r="M52" s="13" t="str" cm="1">
        <f t="array" ref="M52:AD52">IF($A52="","",IFERROR(TRANSPOSE(_xlfn._xlws.FILTER(Lokale!$C$3:$C$91,Lokale!$B$3:$B$91=$A52)),""))</f>
        <v>170 (Glamour)</v>
      </c>
      <c r="N52" s="13" t="str">
        <v>171 (Starter Dworzec)</v>
      </c>
      <c r="O52" s="13" t="str">
        <v>172 (Starter Przyloty)</v>
      </c>
      <c r="P52" s="13" t="str">
        <v>173 (LMDL2)</v>
      </c>
      <c r="Q52" s="13" t="str">
        <v>174 (Zoom NS)</v>
      </c>
      <c r="R52" s="13" t="str">
        <v>175 (Ministore NS)</v>
      </c>
      <c r="S52" s="13" t="str">
        <v>176 (Zoom odloty)</v>
      </c>
      <c r="T52" s="13" t="str">
        <v>177 (Spirit of Poland)</v>
      </c>
      <c r="U52" s="13" t="str">
        <v>178 (Multistore)</v>
      </c>
      <c r="V52" s="13" t="str">
        <v>179 (ZOOM)</v>
      </c>
      <c r="W52" s="13" t="str">
        <v>180 (Starter odloty)</v>
      </c>
      <c r="X52" s="13" t="str">
        <v>181 (Bestseller)</v>
      </c>
      <c r="Y52" s="13" t="str">
        <v>182 (Zoom palarnia)</v>
      </c>
      <c r="Z52" s="13" t="str">
        <v>183 (LMDL)</v>
      </c>
      <c r="AA52" s="13" t="str">
        <v>187 (Zoom NS)</v>
      </c>
      <c r="AB52" s="13" t="str">
        <v>208 (PIZZA)</v>
      </c>
      <c r="AC52" s="13" t="str">
        <v>532 (Magazyn)</v>
      </c>
      <c r="AD52" s="13" t="str">
        <v>Wszystkie lokale</v>
      </c>
      <c r="AJ52" s="13" t="str" cm="1">
        <f t="array" ref="AJ52:AX52">IF($C52="","",IFERROR(TRANSPOSE(_xlfn._xlws.FILTER(Listy!$D$2:$D$60,Listy!$C$2:$C$60=$C52)),""))</f>
        <v>Klamki na kod</v>
      </c>
      <c r="AK52" s="13" t="str">
        <v>Oświetlenie</v>
      </c>
      <c r="AL52" s="13" t="str">
        <v>Drzwi przeciwpożarowe</v>
      </c>
      <c r="AM52" s="13" t="str">
        <v>Drzwi na zaplecze</v>
      </c>
      <c r="AN52" s="13" t="str">
        <v>Systemy multmedialne</v>
      </c>
      <c r="AO52" s="13" t="str">
        <v>Posadzki, wykładziny</v>
      </c>
      <c r="AP52" s="13" t="str">
        <v>Kontrola kurzu</v>
      </c>
      <c r="AQ52" s="13" t="str">
        <v>Light boxy</v>
      </c>
      <c r="AR52" s="13" t="str">
        <v>Floorboxy</v>
      </c>
      <c r="AS52" s="13" t="str">
        <v>Meble</v>
      </c>
      <c r="AT52" s="13" t="str">
        <v>Szyby</v>
      </c>
      <c r="AU52" s="13" t="str">
        <v>Lampy owadobójcze</v>
      </c>
      <c r="AV52" s="13" t="str">
        <v>Samochody</v>
      </c>
      <c r="AW52" s="13" t="str">
        <v>Windy w samochodach</v>
      </c>
      <c r="AX52" s="13" t="str">
        <v>Sprawdzenie pompy odpływowej</v>
      </c>
    </row>
    <row r="53" spans="1:59" ht="25" customHeight="1" x14ac:dyDescent="0.35">
      <c r="A53" s="12" t="s">
        <v>8</v>
      </c>
      <c r="B53" s="12" t="s">
        <v>43</v>
      </c>
      <c r="C53" s="12" t="s">
        <v>94</v>
      </c>
      <c r="D53" s="12" t="s">
        <v>91</v>
      </c>
      <c r="F53" s="1"/>
      <c r="G53" s="4" t="str">
        <f t="shared" si="4"/>
        <v/>
      </c>
      <c r="H53" s="12" t="str">
        <f t="shared" ca="1" si="11"/>
        <v/>
      </c>
      <c r="I53" s="14"/>
      <c r="J53" s="1" t="str">
        <f t="shared" si="3"/>
        <v>BRAK PROTOKOŁU</v>
      </c>
      <c r="K53" s="1"/>
      <c r="M53" s="13" t="str" cm="1">
        <f t="array" ref="M53:AD53">IF($A53="","",IFERROR(TRANSPOSE(_xlfn._xlws.FILTER(Lokale!$C$3:$C$91,Lokale!$B$3:$B$91=$A53)),""))</f>
        <v>170 (Glamour)</v>
      </c>
      <c r="N53" s="13" t="str">
        <v>171 (Starter Dworzec)</v>
      </c>
      <c r="O53" s="13" t="str">
        <v>172 (Starter Przyloty)</v>
      </c>
      <c r="P53" s="13" t="str">
        <v>173 (LMDL2)</v>
      </c>
      <c r="Q53" s="13" t="str">
        <v>174 (Zoom NS)</v>
      </c>
      <c r="R53" s="13" t="str">
        <v>175 (Ministore NS)</v>
      </c>
      <c r="S53" s="13" t="str">
        <v>176 (Zoom odloty)</v>
      </c>
      <c r="T53" s="13" t="str">
        <v>177 (Spirit of Poland)</v>
      </c>
      <c r="U53" s="13" t="str">
        <v>178 (Multistore)</v>
      </c>
      <c r="V53" s="13" t="str">
        <v>179 (ZOOM)</v>
      </c>
      <c r="W53" s="13" t="str">
        <v>180 (Starter odloty)</v>
      </c>
      <c r="X53" s="13" t="str">
        <v>181 (Bestseller)</v>
      </c>
      <c r="Y53" s="13" t="str">
        <v>182 (Zoom palarnia)</v>
      </c>
      <c r="Z53" s="13" t="str">
        <v>183 (LMDL)</v>
      </c>
      <c r="AA53" s="13" t="str">
        <v>187 (Zoom NS)</v>
      </c>
      <c r="AB53" s="13" t="str">
        <v>208 (PIZZA)</v>
      </c>
      <c r="AC53" s="13" t="str">
        <v>532 (Magazyn)</v>
      </c>
      <c r="AD53" s="13" t="str">
        <v>Wszystkie lokale</v>
      </c>
      <c r="AJ53" s="13" t="str" cm="1">
        <f t="array" ref="AJ53:AX53">IF($C53="","",IFERROR(TRANSPOSE(_xlfn._xlws.FILTER(Listy!$D$2:$D$60,Listy!$C$2:$C$60=$C53)),""))</f>
        <v>Klamki na kod</v>
      </c>
      <c r="AK53" s="13" t="str">
        <v>Oświetlenie</v>
      </c>
      <c r="AL53" s="13" t="str">
        <v>Drzwi przeciwpożarowe</v>
      </c>
      <c r="AM53" s="13" t="str">
        <v>Drzwi na zaplecze</v>
      </c>
      <c r="AN53" s="13" t="str">
        <v>Systemy multmedialne</v>
      </c>
      <c r="AO53" s="13" t="str">
        <v>Posadzki, wykładziny</v>
      </c>
      <c r="AP53" s="13" t="str">
        <v>Kontrola kurzu</v>
      </c>
      <c r="AQ53" s="13" t="str">
        <v>Light boxy</v>
      </c>
      <c r="AR53" s="13" t="str">
        <v>Floorboxy</v>
      </c>
      <c r="AS53" s="13" t="str">
        <v>Meble</v>
      </c>
      <c r="AT53" s="13" t="str">
        <v>Szyby</v>
      </c>
      <c r="AU53" s="13" t="str">
        <v>Lampy owadobójcze</v>
      </c>
      <c r="AV53" s="13" t="str">
        <v>Samochody</v>
      </c>
      <c r="AW53" s="13" t="str">
        <v>Windy w samochodach</v>
      </c>
      <c r="AX53" s="13" t="str">
        <v>Sprawdzenie pompy odpływowej</v>
      </c>
    </row>
    <row r="54" spans="1:59" ht="25" customHeight="1" x14ac:dyDescent="0.35">
      <c r="A54" s="12" t="s">
        <v>8</v>
      </c>
      <c r="B54" s="12" t="s">
        <v>43</v>
      </c>
      <c r="C54" s="12" t="s">
        <v>94</v>
      </c>
      <c r="D54" s="12" t="s">
        <v>92</v>
      </c>
      <c r="F54" s="1"/>
      <c r="G54" s="4" t="str">
        <f>IF(OR(E54="",F54=""),"",DATE(YEAR(E54),MONTH(E54)+F54,DAY(E54)))</f>
        <v/>
      </c>
      <c r="H54" s="12" t="str">
        <f t="shared" ca="1" si="11"/>
        <v/>
      </c>
      <c r="I54" s="14"/>
      <c r="J54" s="1" t="str">
        <f t="shared" si="3"/>
        <v>BRAK PROTOKOŁU</v>
      </c>
      <c r="K54" s="1"/>
      <c r="M54" s="13" t="str" cm="1">
        <f t="array" ref="M54:AD54">IF($A54="","",IFERROR(TRANSPOSE(_xlfn._xlws.FILTER(Lokale!$C$3:$C$91,Lokale!$B$3:$B$91=$A54)),""))</f>
        <v>170 (Glamour)</v>
      </c>
      <c r="N54" s="13" t="str">
        <v>171 (Starter Dworzec)</v>
      </c>
      <c r="O54" s="13" t="str">
        <v>172 (Starter Przyloty)</v>
      </c>
      <c r="P54" s="13" t="str">
        <v>173 (LMDL2)</v>
      </c>
      <c r="Q54" s="13" t="str">
        <v>174 (Zoom NS)</v>
      </c>
      <c r="R54" s="13" t="str">
        <v>175 (Ministore NS)</v>
      </c>
      <c r="S54" s="13" t="str">
        <v>176 (Zoom odloty)</v>
      </c>
      <c r="T54" s="13" t="str">
        <v>177 (Spirit of Poland)</v>
      </c>
      <c r="U54" s="13" t="str">
        <v>178 (Multistore)</v>
      </c>
      <c r="V54" s="13" t="str">
        <v>179 (ZOOM)</v>
      </c>
      <c r="W54" s="13" t="str">
        <v>180 (Starter odloty)</v>
      </c>
      <c r="X54" s="13" t="str">
        <v>181 (Bestseller)</v>
      </c>
      <c r="Y54" s="13" t="str">
        <v>182 (Zoom palarnia)</v>
      </c>
      <c r="Z54" s="13" t="str">
        <v>183 (LMDL)</v>
      </c>
      <c r="AA54" s="13" t="str">
        <v>187 (Zoom NS)</v>
      </c>
      <c r="AB54" s="13" t="str">
        <v>208 (PIZZA)</v>
      </c>
      <c r="AC54" s="13" t="str">
        <v>532 (Magazyn)</v>
      </c>
      <c r="AD54" s="13" t="str">
        <v>Wszystkie lokale</v>
      </c>
      <c r="AJ54" s="13" t="str" cm="1">
        <f t="array" ref="AJ54:AX54">IF($C54="","",IFERROR(TRANSPOSE(_xlfn._xlws.FILTER(Listy!$D$2:$D$60,Listy!$C$2:$C$60=$C54)),""))</f>
        <v>Klamki na kod</v>
      </c>
      <c r="AK54" s="13" t="str">
        <v>Oświetlenie</v>
      </c>
      <c r="AL54" s="13" t="str">
        <v>Drzwi przeciwpożarowe</v>
      </c>
      <c r="AM54" s="13" t="str">
        <v>Drzwi na zaplecze</v>
      </c>
      <c r="AN54" s="13" t="str">
        <v>Systemy multmedialne</v>
      </c>
      <c r="AO54" s="13" t="str">
        <v>Posadzki, wykładziny</v>
      </c>
      <c r="AP54" s="13" t="str">
        <v>Kontrola kurzu</v>
      </c>
      <c r="AQ54" s="13" t="str">
        <v>Light boxy</v>
      </c>
      <c r="AR54" s="13" t="str">
        <v>Floorboxy</v>
      </c>
      <c r="AS54" s="13" t="str">
        <v>Meble</v>
      </c>
      <c r="AT54" s="13" t="str">
        <v>Szyby</v>
      </c>
      <c r="AU54" s="13" t="str">
        <v>Lampy owadobójcze</v>
      </c>
      <c r="AV54" s="13" t="str">
        <v>Samochody</v>
      </c>
      <c r="AW54" s="13" t="str">
        <v>Windy w samochodach</v>
      </c>
      <c r="AX54" s="13" t="str">
        <v>Sprawdzenie pompy odpływowej</v>
      </c>
    </row>
    <row r="55" spans="1:59" ht="25" customHeight="1" x14ac:dyDescent="0.35">
      <c r="A55" s="12" t="s">
        <v>8</v>
      </c>
      <c r="B55" s="12" t="s">
        <v>43</v>
      </c>
      <c r="C55" s="12" t="s">
        <v>94</v>
      </c>
      <c r="D55" s="12" t="s">
        <v>82</v>
      </c>
      <c r="F55" s="1"/>
      <c r="G55" s="4" t="str">
        <f t="shared" si="4"/>
        <v/>
      </c>
      <c r="H55" s="12" t="str">
        <f t="shared" ca="1" si="11"/>
        <v/>
      </c>
      <c r="I55" s="14"/>
      <c r="J55" s="1" t="str">
        <f t="shared" si="3"/>
        <v>BRAK PROTOKOŁU</v>
      </c>
      <c r="K55" s="1"/>
      <c r="M55" s="13" t="str" cm="1">
        <f t="array" ref="M55:AD55">IF($A55="","",IFERROR(TRANSPOSE(_xlfn._xlws.FILTER(Lokale!$C$3:$C$91,Lokale!$B$3:$B$91=$A55)),""))</f>
        <v>170 (Glamour)</v>
      </c>
      <c r="N55" s="13" t="str">
        <v>171 (Starter Dworzec)</v>
      </c>
      <c r="O55" s="13" t="str">
        <v>172 (Starter Przyloty)</v>
      </c>
      <c r="P55" s="13" t="str">
        <v>173 (LMDL2)</v>
      </c>
      <c r="Q55" s="13" t="str">
        <v>174 (Zoom NS)</v>
      </c>
      <c r="R55" s="13" t="str">
        <v>175 (Ministore NS)</v>
      </c>
      <c r="S55" s="13" t="str">
        <v>176 (Zoom odloty)</v>
      </c>
      <c r="T55" s="13" t="str">
        <v>177 (Spirit of Poland)</v>
      </c>
      <c r="U55" s="13" t="str">
        <v>178 (Multistore)</v>
      </c>
      <c r="V55" s="13" t="str">
        <v>179 (ZOOM)</v>
      </c>
      <c r="W55" s="13" t="str">
        <v>180 (Starter odloty)</v>
      </c>
      <c r="X55" s="13" t="str">
        <v>181 (Bestseller)</v>
      </c>
      <c r="Y55" s="13" t="str">
        <v>182 (Zoom palarnia)</v>
      </c>
      <c r="Z55" s="13" t="str">
        <v>183 (LMDL)</v>
      </c>
      <c r="AA55" s="13" t="str">
        <v>187 (Zoom NS)</v>
      </c>
      <c r="AB55" s="13" t="str">
        <v>208 (PIZZA)</v>
      </c>
      <c r="AC55" s="13" t="str">
        <v>532 (Magazyn)</v>
      </c>
      <c r="AD55" s="13" t="str">
        <v>Wszystkie lokale</v>
      </c>
      <c r="AJ55" s="13" t="str" cm="1">
        <f t="array" ref="AJ55:AX55">IF($C55="","",IFERROR(TRANSPOSE(_xlfn._xlws.FILTER(Listy!$D$2:$D$60,Listy!$C$2:$C$60=$C55)),""))</f>
        <v>Klamki na kod</v>
      </c>
      <c r="AK55" s="13" t="str">
        <v>Oświetlenie</v>
      </c>
      <c r="AL55" s="13" t="str">
        <v>Drzwi przeciwpożarowe</v>
      </c>
      <c r="AM55" s="13" t="str">
        <v>Drzwi na zaplecze</v>
      </c>
      <c r="AN55" s="13" t="str">
        <v>Systemy multmedialne</v>
      </c>
      <c r="AO55" s="13" t="str">
        <v>Posadzki, wykładziny</v>
      </c>
      <c r="AP55" s="13" t="str">
        <v>Kontrola kurzu</v>
      </c>
      <c r="AQ55" s="13" t="str">
        <v>Light boxy</v>
      </c>
      <c r="AR55" s="13" t="str">
        <v>Floorboxy</v>
      </c>
      <c r="AS55" s="13" t="str">
        <v>Meble</v>
      </c>
      <c r="AT55" s="13" t="str">
        <v>Szyby</v>
      </c>
      <c r="AU55" s="13" t="str">
        <v>Lampy owadobójcze</v>
      </c>
      <c r="AV55" s="13" t="str">
        <v>Samochody</v>
      </c>
      <c r="AW55" s="13" t="str">
        <v>Windy w samochodach</v>
      </c>
      <c r="AX55" s="13" t="str">
        <v>Sprawdzenie pompy odpływowej</v>
      </c>
    </row>
    <row r="56" spans="1:59" ht="25" customHeight="1" x14ac:dyDescent="0.35">
      <c r="A56" s="12" t="s">
        <v>8</v>
      </c>
      <c r="B56" s="12" t="s">
        <v>43</v>
      </c>
      <c r="C56" s="12" t="s">
        <v>94</v>
      </c>
      <c r="D56" s="12" t="s">
        <v>98</v>
      </c>
      <c r="F56" s="1"/>
      <c r="G56" s="4" t="str">
        <f t="shared" si="4"/>
        <v/>
      </c>
      <c r="H56" s="12" t="str">
        <f t="shared" ca="1" si="11"/>
        <v/>
      </c>
      <c r="I56" s="14"/>
      <c r="J56" s="1" t="str">
        <f t="shared" si="3"/>
        <v>BRAK PROTOKOŁU</v>
      </c>
      <c r="K56" s="1"/>
      <c r="M56" s="13" t="str" cm="1">
        <f t="array" ref="M56:AD56">IF($A56="","",IFERROR(TRANSPOSE(_xlfn._xlws.FILTER(Lokale!$C$3:$C$91,Lokale!$B$3:$B$91=$A56)),""))</f>
        <v>170 (Glamour)</v>
      </c>
      <c r="N56" s="13" t="str">
        <v>171 (Starter Dworzec)</v>
      </c>
      <c r="O56" s="13" t="str">
        <v>172 (Starter Przyloty)</v>
      </c>
      <c r="P56" s="13" t="str">
        <v>173 (LMDL2)</v>
      </c>
      <c r="Q56" s="13" t="str">
        <v>174 (Zoom NS)</v>
      </c>
      <c r="R56" s="13" t="str">
        <v>175 (Ministore NS)</v>
      </c>
      <c r="S56" s="13" t="str">
        <v>176 (Zoom odloty)</v>
      </c>
      <c r="T56" s="13" t="str">
        <v>177 (Spirit of Poland)</v>
      </c>
      <c r="U56" s="13" t="str">
        <v>178 (Multistore)</v>
      </c>
      <c r="V56" s="13" t="str">
        <v>179 (ZOOM)</v>
      </c>
      <c r="W56" s="13" t="str">
        <v>180 (Starter odloty)</v>
      </c>
      <c r="X56" s="13" t="str">
        <v>181 (Bestseller)</v>
      </c>
      <c r="Y56" s="13" t="str">
        <v>182 (Zoom palarnia)</v>
      </c>
      <c r="Z56" s="13" t="str">
        <v>183 (LMDL)</v>
      </c>
      <c r="AA56" s="13" t="str">
        <v>187 (Zoom NS)</v>
      </c>
      <c r="AB56" s="13" t="str">
        <v>208 (PIZZA)</v>
      </c>
      <c r="AC56" s="13" t="str">
        <v>532 (Magazyn)</v>
      </c>
      <c r="AD56" s="13" t="str">
        <v>Wszystkie lokale</v>
      </c>
      <c r="AJ56" s="13" t="str" cm="1">
        <f t="array" ref="AJ56:AX56">IF($C56="","",IFERROR(TRANSPOSE(_xlfn._xlws.FILTER(Listy!$D$2:$D$60,Listy!$C$2:$C$60=$C56)),""))</f>
        <v>Klamki na kod</v>
      </c>
      <c r="AK56" s="13" t="str">
        <v>Oświetlenie</v>
      </c>
      <c r="AL56" s="13" t="str">
        <v>Drzwi przeciwpożarowe</v>
      </c>
      <c r="AM56" s="13" t="str">
        <v>Drzwi na zaplecze</v>
      </c>
      <c r="AN56" s="13" t="str">
        <v>Systemy multmedialne</v>
      </c>
      <c r="AO56" s="13" t="str">
        <v>Posadzki, wykładziny</v>
      </c>
      <c r="AP56" s="13" t="str">
        <v>Kontrola kurzu</v>
      </c>
      <c r="AQ56" s="13" t="str">
        <v>Light boxy</v>
      </c>
      <c r="AR56" s="13" t="str">
        <v>Floorboxy</v>
      </c>
      <c r="AS56" s="13" t="str">
        <v>Meble</v>
      </c>
      <c r="AT56" s="13" t="str">
        <v>Szyby</v>
      </c>
      <c r="AU56" s="13" t="str">
        <v>Lampy owadobójcze</v>
      </c>
      <c r="AV56" s="13" t="str">
        <v>Samochody</v>
      </c>
      <c r="AW56" s="13" t="str">
        <v>Windy w samochodach</v>
      </c>
      <c r="AX56" s="13" t="str">
        <v>Sprawdzenie pompy odpływowej</v>
      </c>
    </row>
    <row r="57" spans="1:59" ht="25" customHeight="1" x14ac:dyDescent="0.35">
      <c r="F57" s="1"/>
      <c r="G57" s="4" t="str">
        <f>IF(OR(E57="",F57=""),"",DATE(YEAR(E57),MONTH(E57)+F57,DAY(E57)))</f>
        <v/>
      </c>
      <c r="H57" s="12" t="str">
        <f t="shared" ca="1" si="11"/>
        <v/>
      </c>
      <c r="I57" s="14"/>
      <c r="J57" s="1" t="e">
        <f>IF(COUNTA(A57:F104)=0,"",IF(#REF!="","BRAK PROTOKOŁU","DODANY"))</f>
        <v>#REF!</v>
      </c>
      <c r="K57" s="1"/>
      <c r="AJ57" s="13" t="str" cm="1">
        <f t="array" ref="AJ57">IF($C57="","",IFERROR(TRANSPOSE(_xlfn._xlws.FILTER(Listy!$D$2:$D$60,Listy!$C$2:$C$60=$C57)),""))</f>
        <v/>
      </c>
    </row>
    <row r="58" spans="1:59" ht="25" customHeight="1" x14ac:dyDescent="0.35">
      <c r="A58" s="12" t="s">
        <v>8</v>
      </c>
      <c r="B58" s="12" t="s">
        <v>44</v>
      </c>
      <c r="C58" s="12" t="s">
        <v>93</v>
      </c>
      <c r="D58" s="12" t="s">
        <v>85</v>
      </c>
      <c r="F58" s="1"/>
      <c r="G58" s="4" t="str">
        <f t="shared" si="4"/>
        <v/>
      </c>
      <c r="H58" s="12" t="str">
        <f t="shared" ca="1" si="11"/>
        <v/>
      </c>
      <c r="I58" s="14"/>
      <c r="J58" s="1" t="str">
        <f t="shared" si="3"/>
        <v>BRAK PROTOKOŁU</v>
      </c>
      <c r="K58" s="1"/>
      <c r="M58" s="13" t="str" cm="1">
        <f t="array" ref="M58:AD58">IF($A58="","",IFERROR(TRANSPOSE(_xlfn._xlws.FILTER(Lokale!$C$3:$C$91,Lokale!$B$3:$B$91=$A58)),""))</f>
        <v>170 (Glamour)</v>
      </c>
      <c r="N58" s="13" t="str">
        <v>171 (Starter Dworzec)</v>
      </c>
      <c r="O58" s="13" t="str">
        <v>172 (Starter Przyloty)</v>
      </c>
      <c r="P58" s="13" t="str">
        <v>173 (LMDL2)</v>
      </c>
      <c r="Q58" s="13" t="str">
        <v>174 (Zoom NS)</v>
      </c>
      <c r="R58" s="13" t="str">
        <v>175 (Ministore NS)</v>
      </c>
      <c r="S58" s="13" t="str">
        <v>176 (Zoom odloty)</v>
      </c>
      <c r="T58" s="13" t="str">
        <v>177 (Spirit of Poland)</v>
      </c>
      <c r="U58" s="13" t="str">
        <v>178 (Multistore)</v>
      </c>
      <c r="V58" s="13" t="str">
        <v>179 (ZOOM)</v>
      </c>
      <c r="W58" s="13" t="str">
        <v>180 (Starter odloty)</v>
      </c>
      <c r="X58" s="13" t="str">
        <v>181 (Bestseller)</v>
      </c>
      <c r="Y58" s="13" t="str">
        <v>182 (Zoom palarnia)</v>
      </c>
      <c r="Z58" s="13" t="str">
        <v>183 (LMDL)</v>
      </c>
      <c r="AA58" s="13" t="str">
        <v>187 (Zoom NS)</v>
      </c>
      <c r="AB58" s="13" t="str">
        <v>208 (PIZZA)</v>
      </c>
      <c r="AC58" s="13" t="str">
        <v>532 (Magazyn)</v>
      </c>
      <c r="AD58" s="13" t="str">
        <v>Wszystkie lokale</v>
      </c>
      <c r="AJ58" s="13" t="str" cm="1">
        <f t="array" ref="AJ58:BG58">IF($C58="","",IFERROR(TRANSPOSE(_xlfn._xlws.FILTER(Listy!$D$2:$D$60,Listy!$C$2:$C$60=$C58)),""))</f>
        <v>Elektryczny (roczny)</v>
      </c>
      <c r="AK58" s="13" t="str">
        <v>Elektryczny (5-cio letni)</v>
      </c>
      <c r="AL58" s="13" t="str">
        <v>Systemy PPOŻ</v>
      </c>
      <c r="AM58" s="13" t="str">
        <v>Gaśnice</v>
      </c>
      <c r="AN58" s="13" t="str">
        <v>Klimatyzacja</v>
      </c>
      <c r="AO58" s="13" t="str">
        <v>Alarmy</v>
      </c>
      <c r="AP58" s="13" t="str">
        <v>Hydranty</v>
      </c>
      <c r="AQ58" s="13" t="str">
        <v xml:space="preserve">Rolety </v>
      </c>
      <c r="AR58" s="13" t="str">
        <v>Wentylacja</v>
      </c>
      <c r="AS58" s="13" t="str">
        <v>Wymiana filtrów</v>
      </c>
      <c r="AT58" s="13" t="str">
        <v>Regałów magazynowych</v>
      </c>
      <c r="AU58" s="13" t="str">
        <v>CRO</v>
      </c>
      <c r="AV58" s="13" t="str">
        <v>Mroźnia/Chłodnia</v>
      </c>
      <c r="AW58" s="13" t="str">
        <v>Regały chłodnicze</v>
      </c>
      <c r="AX58" s="13" t="str">
        <v>Separatory tłuszczu</v>
      </c>
      <c r="AY58" s="13" t="str">
        <v>Vendingi</v>
      </c>
      <c r="AZ58" s="13" t="str">
        <v>UDT (wózki widłowe, paleciaki)</v>
      </c>
      <c r="BA58" s="13" t="str">
        <v>BHP (drabiny, schodki, podesty)</v>
      </c>
      <c r="BB58" s="12" t="str">
        <v>Ansul</v>
      </c>
      <c r="BC58" s="12" t="str">
        <v>Okap</v>
      </c>
      <c r="BD58" s="12" t="str">
        <v>Brama garażowa</v>
      </c>
      <c r="BE58" s="12" t="str">
        <v>Żaluzje (gastro)</v>
      </c>
      <c r="BF58" s="12" t="str">
        <v>Bramki antykradzieżowe</v>
      </c>
      <c r="BG58" s="12" t="str">
        <v>Mycie jednostek klimatyzacji</v>
      </c>
    </row>
    <row r="59" spans="1:59" ht="25" customHeight="1" x14ac:dyDescent="0.35">
      <c r="A59" s="12" t="s">
        <v>8</v>
      </c>
      <c r="B59" s="12" t="s">
        <v>44</v>
      </c>
      <c r="C59" s="12" t="s">
        <v>93</v>
      </c>
      <c r="D59" s="12" t="s">
        <v>86</v>
      </c>
      <c r="E59" s="15">
        <v>45552</v>
      </c>
      <c r="F59" s="1">
        <v>60</v>
      </c>
      <c r="G59" s="4">
        <f t="shared" si="4"/>
        <v>47378</v>
      </c>
      <c r="H59" s="12" t="str">
        <f t="shared" ca="1" si="11"/>
        <v>OK</v>
      </c>
      <c r="I59" s="14"/>
      <c r="J59" s="1" t="str">
        <f t="shared" si="3"/>
        <v>BRAK PROTOKOŁU</v>
      </c>
      <c r="K59" s="1"/>
      <c r="M59" s="13" t="str" cm="1">
        <f t="array" ref="M59:AD59">IF($A59="","",IFERROR(TRANSPOSE(_xlfn._xlws.FILTER(Lokale!$C$3:$C$91,Lokale!$B$3:$B$91=$A59)),""))</f>
        <v>170 (Glamour)</v>
      </c>
      <c r="N59" s="13" t="str">
        <v>171 (Starter Dworzec)</v>
      </c>
      <c r="O59" s="13" t="str">
        <v>172 (Starter Przyloty)</v>
      </c>
      <c r="P59" s="13" t="str">
        <v>173 (LMDL2)</v>
      </c>
      <c r="Q59" s="13" t="str">
        <v>174 (Zoom NS)</v>
      </c>
      <c r="R59" s="13" t="str">
        <v>175 (Ministore NS)</v>
      </c>
      <c r="S59" s="13" t="str">
        <v>176 (Zoom odloty)</v>
      </c>
      <c r="T59" s="13" t="str">
        <v>177 (Spirit of Poland)</v>
      </c>
      <c r="U59" s="13" t="str">
        <v>178 (Multistore)</v>
      </c>
      <c r="V59" s="13" t="str">
        <v>179 (ZOOM)</v>
      </c>
      <c r="W59" s="13" t="str">
        <v>180 (Starter odloty)</v>
      </c>
      <c r="X59" s="13" t="str">
        <v>181 (Bestseller)</v>
      </c>
      <c r="Y59" s="13" t="str">
        <v>182 (Zoom palarnia)</v>
      </c>
      <c r="Z59" s="13" t="str">
        <v>183 (LMDL)</v>
      </c>
      <c r="AA59" s="13" t="str">
        <v>187 (Zoom NS)</v>
      </c>
      <c r="AB59" s="13" t="str">
        <v>208 (PIZZA)</v>
      </c>
      <c r="AC59" s="13" t="str">
        <v>532 (Magazyn)</v>
      </c>
      <c r="AD59" s="13" t="str">
        <v>Wszystkie lokale</v>
      </c>
      <c r="AJ59" s="13" t="str" cm="1">
        <f t="array" ref="AJ59:BG59">IF($C59="","",IFERROR(TRANSPOSE(_xlfn._xlws.FILTER(Listy!$D$2:$D$60,Listy!$C$2:$C$60=$C59)),""))</f>
        <v>Elektryczny (roczny)</v>
      </c>
      <c r="AK59" s="13" t="str">
        <v>Elektryczny (5-cio letni)</v>
      </c>
      <c r="AL59" s="13" t="str">
        <v>Systemy PPOŻ</v>
      </c>
      <c r="AM59" s="13" t="str">
        <v>Gaśnice</v>
      </c>
      <c r="AN59" s="13" t="str">
        <v>Klimatyzacja</v>
      </c>
      <c r="AO59" s="13" t="str">
        <v>Alarmy</v>
      </c>
      <c r="AP59" s="13" t="str">
        <v>Hydranty</v>
      </c>
      <c r="AQ59" s="13" t="str">
        <v xml:space="preserve">Rolety </v>
      </c>
      <c r="AR59" s="13" t="str">
        <v>Wentylacja</v>
      </c>
      <c r="AS59" s="13" t="str">
        <v>Wymiana filtrów</v>
      </c>
      <c r="AT59" s="13" t="str">
        <v>Regałów magazynowych</v>
      </c>
      <c r="AU59" s="13" t="str">
        <v>CRO</v>
      </c>
      <c r="AV59" s="13" t="str">
        <v>Mroźnia/Chłodnia</v>
      </c>
      <c r="AW59" s="13" t="str">
        <v>Regały chłodnicze</v>
      </c>
      <c r="AX59" s="13" t="str">
        <v>Separatory tłuszczu</v>
      </c>
      <c r="AY59" s="13" t="str">
        <v>Vendingi</v>
      </c>
      <c r="AZ59" s="13" t="str">
        <v>UDT (wózki widłowe, paleciaki)</v>
      </c>
      <c r="BA59" s="13" t="str">
        <v>BHP (drabiny, schodki, podesty)</v>
      </c>
      <c r="BB59" s="12" t="str">
        <v>Ansul</v>
      </c>
      <c r="BC59" s="12" t="str">
        <v>Okap</v>
      </c>
      <c r="BD59" s="12" t="str">
        <v>Brama garażowa</v>
      </c>
      <c r="BE59" s="12" t="str">
        <v>Żaluzje (gastro)</v>
      </c>
      <c r="BF59" s="12" t="str">
        <v>Bramki antykradzieżowe</v>
      </c>
      <c r="BG59" s="12" t="str">
        <v>Mycie jednostek klimatyzacji</v>
      </c>
    </row>
    <row r="60" spans="1:59" ht="25" customHeight="1" x14ac:dyDescent="0.35">
      <c r="A60" s="12" t="s">
        <v>8</v>
      </c>
      <c r="B60" s="12" t="s">
        <v>44</v>
      </c>
      <c r="C60" s="12" t="s">
        <v>93</v>
      </c>
      <c r="D60" s="12" t="s">
        <v>99</v>
      </c>
      <c r="F60" s="1"/>
      <c r="G60" s="4" t="str">
        <f t="shared" si="4"/>
        <v/>
      </c>
      <c r="H60" s="12" t="str">
        <f t="shared" ca="1" si="11"/>
        <v/>
      </c>
      <c r="I60" s="14"/>
      <c r="J60" s="1" t="str">
        <f t="shared" si="3"/>
        <v>BRAK PROTOKOŁU</v>
      </c>
      <c r="K60" s="1"/>
      <c r="M60" s="13" t="str" cm="1">
        <f t="array" ref="M60:AD60">IF($A60="","",IFERROR(TRANSPOSE(_xlfn._xlws.FILTER(Lokale!$C$3:$C$91,Lokale!$B$3:$B$91=$A60)),""))</f>
        <v>170 (Glamour)</v>
      </c>
      <c r="N60" s="13" t="str">
        <v>171 (Starter Dworzec)</v>
      </c>
      <c r="O60" s="13" t="str">
        <v>172 (Starter Przyloty)</v>
      </c>
      <c r="P60" s="13" t="str">
        <v>173 (LMDL2)</v>
      </c>
      <c r="Q60" s="13" t="str">
        <v>174 (Zoom NS)</v>
      </c>
      <c r="R60" s="13" t="str">
        <v>175 (Ministore NS)</v>
      </c>
      <c r="S60" s="13" t="str">
        <v>176 (Zoom odloty)</v>
      </c>
      <c r="T60" s="13" t="str">
        <v>177 (Spirit of Poland)</v>
      </c>
      <c r="U60" s="13" t="str">
        <v>178 (Multistore)</v>
      </c>
      <c r="V60" s="13" t="str">
        <v>179 (ZOOM)</v>
      </c>
      <c r="W60" s="13" t="str">
        <v>180 (Starter odloty)</v>
      </c>
      <c r="X60" s="13" t="str">
        <v>181 (Bestseller)</v>
      </c>
      <c r="Y60" s="13" t="str">
        <v>182 (Zoom palarnia)</v>
      </c>
      <c r="Z60" s="13" t="str">
        <v>183 (LMDL)</v>
      </c>
      <c r="AA60" s="13" t="str">
        <v>187 (Zoom NS)</v>
      </c>
      <c r="AB60" s="13" t="str">
        <v>208 (PIZZA)</v>
      </c>
      <c r="AC60" s="13" t="str">
        <v>532 (Magazyn)</v>
      </c>
      <c r="AD60" s="13" t="str">
        <v>Wszystkie lokale</v>
      </c>
      <c r="AJ60" s="13" t="str" cm="1">
        <f t="array" ref="AJ60:BG60">IF($C60="","",IFERROR(TRANSPOSE(_xlfn._xlws.FILTER(Listy!$D$2:$D$60,Listy!$C$2:$C$60=$C60)),""))</f>
        <v>Elektryczny (roczny)</v>
      </c>
      <c r="AK60" s="13" t="str">
        <v>Elektryczny (5-cio letni)</v>
      </c>
      <c r="AL60" s="13" t="str">
        <v>Systemy PPOŻ</v>
      </c>
      <c r="AM60" s="13" t="str">
        <v>Gaśnice</v>
      </c>
      <c r="AN60" s="13" t="str">
        <v>Klimatyzacja</v>
      </c>
      <c r="AO60" s="13" t="str">
        <v>Alarmy</v>
      </c>
      <c r="AP60" s="13" t="str">
        <v>Hydranty</v>
      </c>
      <c r="AQ60" s="13" t="str">
        <v xml:space="preserve">Rolety </v>
      </c>
      <c r="AR60" s="13" t="str">
        <v>Wentylacja</v>
      </c>
      <c r="AS60" s="13" t="str">
        <v>Wymiana filtrów</v>
      </c>
      <c r="AT60" s="13" t="str">
        <v>Regałów magazynowych</v>
      </c>
      <c r="AU60" s="13" t="str">
        <v>CRO</v>
      </c>
      <c r="AV60" s="13" t="str">
        <v>Mroźnia/Chłodnia</v>
      </c>
      <c r="AW60" s="13" t="str">
        <v>Regały chłodnicze</v>
      </c>
      <c r="AX60" s="13" t="str">
        <v>Separatory tłuszczu</v>
      </c>
      <c r="AY60" s="13" t="str">
        <v>Vendingi</v>
      </c>
      <c r="AZ60" s="13" t="str">
        <v>UDT (wózki widłowe, paleciaki)</v>
      </c>
      <c r="BA60" s="13" t="str">
        <v>BHP (drabiny, schodki, podesty)</v>
      </c>
      <c r="BB60" s="12" t="str">
        <v>Ansul</v>
      </c>
      <c r="BC60" s="12" t="str">
        <v>Okap</v>
      </c>
      <c r="BD60" s="12" t="str">
        <v>Brama garażowa</v>
      </c>
      <c r="BE60" s="12" t="str">
        <v>Żaluzje (gastro)</v>
      </c>
      <c r="BF60" s="12" t="str">
        <v>Bramki antykradzieżowe</v>
      </c>
      <c r="BG60" s="12" t="str">
        <v>Mycie jednostek klimatyzacji</v>
      </c>
    </row>
    <row r="61" spans="1:59" ht="25" customHeight="1" x14ac:dyDescent="0.35">
      <c r="A61" s="12" t="s">
        <v>8</v>
      </c>
      <c r="B61" s="12" t="s">
        <v>44</v>
      </c>
      <c r="C61" s="12" t="s">
        <v>93</v>
      </c>
      <c r="D61" s="12" t="s">
        <v>22</v>
      </c>
      <c r="F61" s="1"/>
      <c r="G61" s="4" t="str">
        <f t="shared" si="4"/>
        <v/>
      </c>
      <c r="H61" s="12" t="str">
        <f t="shared" ca="1" si="11"/>
        <v/>
      </c>
      <c r="I61" s="14"/>
      <c r="J61" s="1" t="str">
        <f t="shared" si="3"/>
        <v>BRAK PROTOKOŁU</v>
      </c>
      <c r="K61" s="1"/>
      <c r="M61" s="13" t="str" cm="1">
        <f t="array" ref="M61:AD61">IF($A61="","",IFERROR(TRANSPOSE(_xlfn._xlws.FILTER(Lokale!$C$3:$C$91,Lokale!$B$3:$B$91=$A61)),""))</f>
        <v>170 (Glamour)</v>
      </c>
      <c r="N61" s="13" t="str">
        <v>171 (Starter Dworzec)</v>
      </c>
      <c r="O61" s="13" t="str">
        <v>172 (Starter Przyloty)</v>
      </c>
      <c r="P61" s="13" t="str">
        <v>173 (LMDL2)</v>
      </c>
      <c r="Q61" s="13" t="str">
        <v>174 (Zoom NS)</v>
      </c>
      <c r="R61" s="13" t="str">
        <v>175 (Ministore NS)</v>
      </c>
      <c r="S61" s="13" t="str">
        <v>176 (Zoom odloty)</v>
      </c>
      <c r="T61" s="13" t="str">
        <v>177 (Spirit of Poland)</v>
      </c>
      <c r="U61" s="13" t="str">
        <v>178 (Multistore)</v>
      </c>
      <c r="V61" s="13" t="str">
        <v>179 (ZOOM)</v>
      </c>
      <c r="W61" s="13" t="str">
        <v>180 (Starter odloty)</v>
      </c>
      <c r="X61" s="13" t="str">
        <v>181 (Bestseller)</v>
      </c>
      <c r="Y61" s="13" t="str">
        <v>182 (Zoom palarnia)</v>
      </c>
      <c r="Z61" s="13" t="str">
        <v>183 (LMDL)</v>
      </c>
      <c r="AA61" s="13" t="str">
        <v>187 (Zoom NS)</v>
      </c>
      <c r="AB61" s="13" t="str">
        <v>208 (PIZZA)</v>
      </c>
      <c r="AC61" s="13" t="str">
        <v>532 (Magazyn)</v>
      </c>
      <c r="AD61" s="13" t="str">
        <v>Wszystkie lokale</v>
      </c>
      <c r="AJ61" s="13" t="str" cm="1">
        <f t="array" ref="AJ61:BG61">IF($C61="","",IFERROR(TRANSPOSE(_xlfn._xlws.FILTER(Listy!$D$2:$D$60,Listy!$C$2:$C$60=$C61)),""))</f>
        <v>Elektryczny (roczny)</v>
      </c>
      <c r="AK61" s="13" t="str">
        <v>Elektryczny (5-cio letni)</v>
      </c>
      <c r="AL61" s="13" t="str">
        <v>Systemy PPOŻ</v>
      </c>
      <c r="AM61" s="13" t="str">
        <v>Gaśnice</v>
      </c>
      <c r="AN61" s="13" t="str">
        <v>Klimatyzacja</v>
      </c>
      <c r="AO61" s="13" t="str">
        <v>Alarmy</v>
      </c>
      <c r="AP61" s="13" t="str">
        <v>Hydranty</v>
      </c>
      <c r="AQ61" s="13" t="str">
        <v xml:space="preserve">Rolety </v>
      </c>
      <c r="AR61" s="13" t="str">
        <v>Wentylacja</v>
      </c>
      <c r="AS61" s="13" t="str">
        <v>Wymiana filtrów</v>
      </c>
      <c r="AT61" s="13" t="str">
        <v>Regałów magazynowych</v>
      </c>
      <c r="AU61" s="13" t="str">
        <v>CRO</v>
      </c>
      <c r="AV61" s="13" t="str">
        <v>Mroźnia/Chłodnia</v>
      </c>
      <c r="AW61" s="13" t="str">
        <v>Regały chłodnicze</v>
      </c>
      <c r="AX61" s="13" t="str">
        <v>Separatory tłuszczu</v>
      </c>
      <c r="AY61" s="13" t="str">
        <v>Vendingi</v>
      </c>
      <c r="AZ61" s="13" t="str">
        <v>UDT (wózki widłowe, paleciaki)</v>
      </c>
      <c r="BA61" s="13" t="str">
        <v>BHP (drabiny, schodki, podesty)</v>
      </c>
      <c r="BB61" s="12" t="str">
        <v>Ansul</v>
      </c>
      <c r="BC61" s="12" t="str">
        <v>Okap</v>
      </c>
      <c r="BD61" s="12" t="str">
        <v>Brama garażowa</v>
      </c>
      <c r="BE61" s="12" t="str">
        <v>Żaluzje (gastro)</v>
      </c>
      <c r="BF61" s="12" t="str">
        <v>Bramki antykradzieżowe</v>
      </c>
      <c r="BG61" s="12" t="str">
        <v>Mycie jednostek klimatyzacji</v>
      </c>
    </row>
    <row r="62" spans="1:59" ht="25" customHeight="1" x14ac:dyDescent="0.35">
      <c r="A62" s="12" t="s">
        <v>8</v>
      </c>
      <c r="B62" s="12" t="s">
        <v>44</v>
      </c>
      <c r="C62" s="12" t="s">
        <v>93</v>
      </c>
      <c r="D62" s="12" t="s">
        <v>96</v>
      </c>
      <c r="F62" s="1"/>
      <c r="G62" s="4" t="str">
        <f t="shared" si="4"/>
        <v/>
      </c>
      <c r="H62" s="12" t="str">
        <f t="shared" ca="1" si="11"/>
        <v/>
      </c>
      <c r="I62" s="14"/>
      <c r="J62" s="1" t="str">
        <f t="shared" si="3"/>
        <v>BRAK PROTOKOŁU</v>
      </c>
      <c r="K62" s="1"/>
      <c r="M62" s="13" t="str" cm="1">
        <f t="array" ref="M62:AD62">IF($A62="","",IFERROR(TRANSPOSE(_xlfn._xlws.FILTER(Lokale!$C$3:$C$91,Lokale!$B$3:$B$91=$A62)),""))</f>
        <v>170 (Glamour)</v>
      </c>
      <c r="N62" s="13" t="str">
        <v>171 (Starter Dworzec)</v>
      </c>
      <c r="O62" s="13" t="str">
        <v>172 (Starter Przyloty)</v>
      </c>
      <c r="P62" s="13" t="str">
        <v>173 (LMDL2)</v>
      </c>
      <c r="Q62" s="13" t="str">
        <v>174 (Zoom NS)</v>
      </c>
      <c r="R62" s="13" t="str">
        <v>175 (Ministore NS)</v>
      </c>
      <c r="S62" s="13" t="str">
        <v>176 (Zoom odloty)</v>
      </c>
      <c r="T62" s="13" t="str">
        <v>177 (Spirit of Poland)</v>
      </c>
      <c r="U62" s="13" t="str">
        <v>178 (Multistore)</v>
      </c>
      <c r="V62" s="13" t="str">
        <v>179 (ZOOM)</v>
      </c>
      <c r="W62" s="13" t="str">
        <v>180 (Starter odloty)</v>
      </c>
      <c r="X62" s="13" t="str">
        <v>181 (Bestseller)</v>
      </c>
      <c r="Y62" s="13" t="str">
        <v>182 (Zoom palarnia)</v>
      </c>
      <c r="Z62" s="13" t="str">
        <v>183 (LMDL)</v>
      </c>
      <c r="AA62" s="13" t="str">
        <v>187 (Zoom NS)</v>
      </c>
      <c r="AB62" s="13" t="str">
        <v>208 (PIZZA)</v>
      </c>
      <c r="AC62" s="13" t="str">
        <v>532 (Magazyn)</v>
      </c>
      <c r="AD62" s="13" t="str">
        <v>Wszystkie lokale</v>
      </c>
      <c r="AJ62" s="13" t="str" cm="1">
        <f t="array" ref="AJ62:BG62">IF($C62="","",IFERROR(TRANSPOSE(_xlfn._xlws.FILTER(Listy!$D$2:$D$60,Listy!$C$2:$C$60=$C62)),""))</f>
        <v>Elektryczny (roczny)</v>
      </c>
      <c r="AK62" s="13" t="str">
        <v>Elektryczny (5-cio letni)</v>
      </c>
      <c r="AL62" s="13" t="str">
        <v>Systemy PPOŻ</v>
      </c>
      <c r="AM62" s="13" t="str">
        <v>Gaśnice</v>
      </c>
      <c r="AN62" s="13" t="str">
        <v>Klimatyzacja</v>
      </c>
      <c r="AO62" s="13" t="str">
        <v>Alarmy</v>
      </c>
      <c r="AP62" s="13" t="str">
        <v>Hydranty</v>
      </c>
      <c r="AQ62" s="13" t="str">
        <v xml:space="preserve">Rolety </v>
      </c>
      <c r="AR62" s="13" t="str">
        <v>Wentylacja</v>
      </c>
      <c r="AS62" s="13" t="str">
        <v>Wymiana filtrów</v>
      </c>
      <c r="AT62" s="13" t="str">
        <v>Regałów magazynowych</v>
      </c>
      <c r="AU62" s="13" t="str">
        <v>CRO</v>
      </c>
      <c r="AV62" s="13" t="str">
        <v>Mroźnia/Chłodnia</v>
      </c>
      <c r="AW62" s="13" t="str">
        <v>Regały chłodnicze</v>
      </c>
      <c r="AX62" s="13" t="str">
        <v>Separatory tłuszczu</v>
      </c>
      <c r="AY62" s="13" t="str">
        <v>Vendingi</v>
      </c>
      <c r="AZ62" s="13" t="str">
        <v>UDT (wózki widłowe, paleciaki)</v>
      </c>
      <c r="BA62" s="13" t="str">
        <v>BHP (drabiny, schodki, podesty)</v>
      </c>
      <c r="BB62" s="12" t="str">
        <v>Ansul</v>
      </c>
      <c r="BC62" s="12" t="str">
        <v>Okap</v>
      </c>
      <c r="BD62" s="12" t="str">
        <v>Brama garażowa</v>
      </c>
      <c r="BE62" s="12" t="str">
        <v>Żaluzje (gastro)</v>
      </c>
      <c r="BF62" s="12" t="str">
        <v>Bramki antykradzieżowe</v>
      </c>
      <c r="BG62" s="12" t="str">
        <v>Mycie jednostek klimatyzacji</v>
      </c>
    </row>
    <row r="63" spans="1:59" ht="25" customHeight="1" x14ac:dyDescent="0.35">
      <c r="A63" s="12" t="s">
        <v>8</v>
      </c>
      <c r="B63" s="12" t="s">
        <v>44</v>
      </c>
      <c r="C63" s="12" t="s">
        <v>93</v>
      </c>
      <c r="D63" s="12" t="s">
        <v>105</v>
      </c>
      <c r="F63" s="1"/>
      <c r="G63" s="4" t="str">
        <f t="shared" si="4"/>
        <v/>
      </c>
      <c r="H63" s="12" t="str">
        <f t="shared" ca="1" si="11"/>
        <v/>
      </c>
      <c r="I63" s="14"/>
      <c r="J63" s="1" t="str">
        <f t="shared" si="3"/>
        <v>BRAK PROTOKOŁU</v>
      </c>
      <c r="K63" s="1"/>
      <c r="M63" s="13" t="str" cm="1">
        <f t="array" ref="M63:AD63">IF($A63="","",IFERROR(TRANSPOSE(_xlfn._xlws.FILTER(Lokale!$C$3:$C$91,Lokale!$B$3:$B$91=$A63)),""))</f>
        <v>170 (Glamour)</v>
      </c>
      <c r="N63" s="13" t="str">
        <v>171 (Starter Dworzec)</v>
      </c>
      <c r="O63" s="13" t="str">
        <v>172 (Starter Przyloty)</v>
      </c>
      <c r="P63" s="13" t="str">
        <v>173 (LMDL2)</v>
      </c>
      <c r="Q63" s="13" t="str">
        <v>174 (Zoom NS)</v>
      </c>
      <c r="R63" s="13" t="str">
        <v>175 (Ministore NS)</v>
      </c>
      <c r="S63" s="13" t="str">
        <v>176 (Zoom odloty)</v>
      </c>
      <c r="T63" s="13" t="str">
        <v>177 (Spirit of Poland)</v>
      </c>
      <c r="U63" s="13" t="str">
        <v>178 (Multistore)</v>
      </c>
      <c r="V63" s="13" t="str">
        <v>179 (ZOOM)</v>
      </c>
      <c r="W63" s="13" t="str">
        <v>180 (Starter odloty)</v>
      </c>
      <c r="X63" s="13" t="str">
        <v>181 (Bestseller)</v>
      </c>
      <c r="Y63" s="13" t="str">
        <v>182 (Zoom palarnia)</v>
      </c>
      <c r="Z63" s="13" t="str">
        <v>183 (LMDL)</v>
      </c>
      <c r="AA63" s="13" t="str">
        <v>187 (Zoom NS)</v>
      </c>
      <c r="AB63" s="13" t="str">
        <v>208 (PIZZA)</v>
      </c>
      <c r="AC63" s="13" t="str">
        <v>532 (Magazyn)</v>
      </c>
      <c r="AD63" s="13" t="str">
        <v>Wszystkie lokale</v>
      </c>
      <c r="AJ63" s="13" t="str" cm="1">
        <f t="array" ref="AJ63:BG63">IF($C63="","",IFERROR(TRANSPOSE(_xlfn._xlws.FILTER(Listy!$D$2:$D$60,Listy!$C$2:$C$60=$C63)),""))</f>
        <v>Elektryczny (roczny)</v>
      </c>
      <c r="AK63" s="13" t="str">
        <v>Elektryczny (5-cio letni)</v>
      </c>
      <c r="AL63" s="13" t="str">
        <v>Systemy PPOŻ</v>
      </c>
      <c r="AM63" s="13" t="str">
        <v>Gaśnice</v>
      </c>
      <c r="AN63" s="13" t="str">
        <v>Klimatyzacja</v>
      </c>
      <c r="AO63" s="13" t="str">
        <v>Alarmy</v>
      </c>
      <c r="AP63" s="13" t="str">
        <v>Hydranty</v>
      </c>
      <c r="AQ63" s="13" t="str">
        <v xml:space="preserve">Rolety </v>
      </c>
      <c r="AR63" s="13" t="str">
        <v>Wentylacja</v>
      </c>
      <c r="AS63" s="13" t="str">
        <v>Wymiana filtrów</v>
      </c>
      <c r="AT63" s="13" t="str">
        <v>Regałów magazynowych</v>
      </c>
      <c r="AU63" s="13" t="str">
        <v>CRO</v>
      </c>
      <c r="AV63" s="13" t="str">
        <v>Mroźnia/Chłodnia</v>
      </c>
      <c r="AW63" s="13" t="str">
        <v>Regały chłodnicze</v>
      </c>
      <c r="AX63" s="13" t="str">
        <v>Separatory tłuszczu</v>
      </c>
      <c r="AY63" s="13" t="str">
        <v>Vendingi</v>
      </c>
      <c r="AZ63" s="13" t="str">
        <v>UDT (wózki widłowe, paleciaki)</v>
      </c>
      <c r="BA63" s="13" t="str">
        <v>BHP (drabiny, schodki, podesty)</v>
      </c>
      <c r="BB63" s="12" t="str">
        <v>Ansul</v>
      </c>
      <c r="BC63" s="12" t="str">
        <v>Okap</v>
      </c>
      <c r="BD63" s="12" t="str">
        <v>Brama garażowa</v>
      </c>
      <c r="BE63" s="12" t="str">
        <v>Żaluzje (gastro)</v>
      </c>
      <c r="BF63" s="12" t="str">
        <v>Bramki antykradzieżowe</v>
      </c>
      <c r="BG63" s="12" t="str">
        <v>Mycie jednostek klimatyzacji</v>
      </c>
    </row>
    <row r="64" spans="1:59" ht="25" customHeight="1" x14ac:dyDescent="0.35">
      <c r="A64" s="12" t="s">
        <v>8</v>
      </c>
      <c r="B64" s="12" t="s">
        <v>44</v>
      </c>
      <c r="C64" s="12" t="s">
        <v>93</v>
      </c>
      <c r="D64" s="12" t="s">
        <v>77</v>
      </c>
      <c r="F64" s="1"/>
      <c r="G64" s="4" t="str">
        <f t="shared" si="4"/>
        <v/>
      </c>
      <c r="H64" s="12" t="str">
        <f t="shared" ca="1" si="11"/>
        <v/>
      </c>
      <c r="I64" s="14"/>
      <c r="J64" s="1" t="str">
        <f t="shared" si="3"/>
        <v>BRAK PROTOKOŁU</v>
      </c>
      <c r="K64" s="1"/>
      <c r="M64" s="13" t="str" cm="1">
        <f t="array" ref="M64:AD64">IF($A64="","",IFERROR(TRANSPOSE(_xlfn._xlws.FILTER(Lokale!$C$3:$C$91,Lokale!$B$3:$B$91=$A64)),""))</f>
        <v>170 (Glamour)</v>
      </c>
      <c r="N64" s="13" t="str">
        <v>171 (Starter Dworzec)</v>
      </c>
      <c r="O64" s="13" t="str">
        <v>172 (Starter Przyloty)</v>
      </c>
      <c r="P64" s="13" t="str">
        <v>173 (LMDL2)</v>
      </c>
      <c r="Q64" s="13" t="str">
        <v>174 (Zoom NS)</v>
      </c>
      <c r="R64" s="13" t="str">
        <v>175 (Ministore NS)</v>
      </c>
      <c r="S64" s="13" t="str">
        <v>176 (Zoom odloty)</v>
      </c>
      <c r="T64" s="13" t="str">
        <v>177 (Spirit of Poland)</v>
      </c>
      <c r="U64" s="13" t="str">
        <v>178 (Multistore)</v>
      </c>
      <c r="V64" s="13" t="str">
        <v>179 (ZOOM)</v>
      </c>
      <c r="W64" s="13" t="str">
        <v>180 (Starter odloty)</v>
      </c>
      <c r="X64" s="13" t="str">
        <v>181 (Bestseller)</v>
      </c>
      <c r="Y64" s="13" t="str">
        <v>182 (Zoom palarnia)</v>
      </c>
      <c r="Z64" s="13" t="str">
        <v>183 (LMDL)</v>
      </c>
      <c r="AA64" s="13" t="str">
        <v>187 (Zoom NS)</v>
      </c>
      <c r="AB64" s="13" t="str">
        <v>208 (PIZZA)</v>
      </c>
      <c r="AC64" s="13" t="str">
        <v>532 (Magazyn)</v>
      </c>
      <c r="AD64" s="13" t="str">
        <v>Wszystkie lokale</v>
      </c>
      <c r="AJ64" s="13" t="str" cm="1">
        <f t="array" ref="AJ64:BG64">IF($C64="","",IFERROR(TRANSPOSE(_xlfn._xlws.FILTER(Listy!$D$2:$D$60,Listy!$C$2:$C$60=$C64)),""))</f>
        <v>Elektryczny (roczny)</v>
      </c>
      <c r="AK64" s="13" t="str">
        <v>Elektryczny (5-cio letni)</v>
      </c>
      <c r="AL64" s="13" t="str">
        <v>Systemy PPOŻ</v>
      </c>
      <c r="AM64" s="13" t="str">
        <v>Gaśnice</v>
      </c>
      <c r="AN64" s="13" t="str">
        <v>Klimatyzacja</v>
      </c>
      <c r="AO64" s="13" t="str">
        <v>Alarmy</v>
      </c>
      <c r="AP64" s="13" t="str">
        <v>Hydranty</v>
      </c>
      <c r="AQ64" s="13" t="str">
        <v xml:space="preserve">Rolety </v>
      </c>
      <c r="AR64" s="13" t="str">
        <v>Wentylacja</v>
      </c>
      <c r="AS64" s="13" t="str">
        <v>Wymiana filtrów</v>
      </c>
      <c r="AT64" s="13" t="str">
        <v>Regałów magazynowych</v>
      </c>
      <c r="AU64" s="13" t="str">
        <v>CRO</v>
      </c>
      <c r="AV64" s="13" t="str">
        <v>Mroźnia/Chłodnia</v>
      </c>
      <c r="AW64" s="13" t="str">
        <v>Regały chłodnicze</v>
      </c>
      <c r="AX64" s="13" t="str">
        <v>Separatory tłuszczu</v>
      </c>
      <c r="AY64" s="13" t="str">
        <v>Vendingi</v>
      </c>
      <c r="AZ64" s="13" t="str">
        <v>UDT (wózki widłowe, paleciaki)</v>
      </c>
      <c r="BA64" s="13" t="str">
        <v>BHP (drabiny, schodki, podesty)</v>
      </c>
      <c r="BB64" s="12" t="str">
        <v>Ansul</v>
      </c>
      <c r="BC64" s="12" t="str">
        <v>Okap</v>
      </c>
      <c r="BD64" s="12" t="str">
        <v>Brama garażowa</v>
      </c>
      <c r="BE64" s="12" t="str">
        <v>Żaluzje (gastro)</v>
      </c>
      <c r="BF64" s="12" t="str">
        <v>Bramki antykradzieżowe</v>
      </c>
      <c r="BG64" s="12" t="str">
        <v>Mycie jednostek klimatyzacji</v>
      </c>
    </row>
    <row r="65" spans="1:59" ht="25" customHeight="1" x14ac:dyDescent="0.35">
      <c r="A65" s="12" t="s">
        <v>8</v>
      </c>
      <c r="B65" s="12" t="s">
        <v>44</v>
      </c>
      <c r="C65" s="12" t="s">
        <v>93</v>
      </c>
      <c r="D65" s="12" t="s">
        <v>87</v>
      </c>
      <c r="F65" s="1"/>
      <c r="G65" s="4" t="str">
        <f t="shared" si="4"/>
        <v/>
      </c>
      <c r="H65" s="12" t="str">
        <f t="shared" ca="1" si="11"/>
        <v/>
      </c>
      <c r="I65" s="14"/>
      <c r="J65" s="1" t="str">
        <f t="shared" si="3"/>
        <v>BRAK PROTOKOŁU</v>
      </c>
      <c r="K65" s="1"/>
      <c r="M65" s="13" t="str" cm="1">
        <f t="array" ref="M65:AD65">IF($A65="","",IFERROR(TRANSPOSE(_xlfn._xlws.FILTER(Lokale!$C$3:$C$91,Lokale!$B$3:$B$91=$A65)),""))</f>
        <v>170 (Glamour)</v>
      </c>
      <c r="N65" s="13" t="str">
        <v>171 (Starter Dworzec)</v>
      </c>
      <c r="O65" s="13" t="str">
        <v>172 (Starter Przyloty)</v>
      </c>
      <c r="P65" s="13" t="str">
        <v>173 (LMDL2)</v>
      </c>
      <c r="Q65" s="13" t="str">
        <v>174 (Zoom NS)</v>
      </c>
      <c r="R65" s="13" t="str">
        <v>175 (Ministore NS)</v>
      </c>
      <c r="S65" s="13" t="str">
        <v>176 (Zoom odloty)</v>
      </c>
      <c r="T65" s="13" t="str">
        <v>177 (Spirit of Poland)</v>
      </c>
      <c r="U65" s="13" t="str">
        <v>178 (Multistore)</v>
      </c>
      <c r="V65" s="13" t="str">
        <v>179 (ZOOM)</v>
      </c>
      <c r="W65" s="13" t="str">
        <v>180 (Starter odloty)</v>
      </c>
      <c r="X65" s="13" t="str">
        <v>181 (Bestseller)</v>
      </c>
      <c r="Y65" s="13" t="str">
        <v>182 (Zoom palarnia)</v>
      </c>
      <c r="Z65" s="13" t="str">
        <v>183 (LMDL)</v>
      </c>
      <c r="AA65" s="13" t="str">
        <v>187 (Zoom NS)</v>
      </c>
      <c r="AB65" s="13" t="str">
        <v>208 (PIZZA)</v>
      </c>
      <c r="AC65" s="13" t="str">
        <v>532 (Magazyn)</v>
      </c>
      <c r="AD65" s="13" t="str">
        <v>Wszystkie lokale</v>
      </c>
      <c r="AJ65" s="13" t="str" cm="1">
        <f t="array" ref="AJ65:BG65">IF($C65="","",IFERROR(TRANSPOSE(_xlfn._xlws.FILTER(Listy!$D$2:$D$60,Listy!$C$2:$C$60=$C65)),""))</f>
        <v>Elektryczny (roczny)</v>
      </c>
      <c r="AK65" s="13" t="str">
        <v>Elektryczny (5-cio letni)</v>
      </c>
      <c r="AL65" s="13" t="str">
        <v>Systemy PPOŻ</v>
      </c>
      <c r="AM65" s="13" t="str">
        <v>Gaśnice</v>
      </c>
      <c r="AN65" s="13" t="str">
        <v>Klimatyzacja</v>
      </c>
      <c r="AO65" s="13" t="str">
        <v>Alarmy</v>
      </c>
      <c r="AP65" s="13" t="str">
        <v>Hydranty</v>
      </c>
      <c r="AQ65" s="13" t="str">
        <v xml:space="preserve">Rolety </v>
      </c>
      <c r="AR65" s="13" t="str">
        <v>Wentylacja</v>
      </c>
      <c r="AS65" s="13" t="str">
        <v>Wymiana filtrów</v>
      </c>
      <c r="AT65" s="13" t="str">
        <v>Regałów magazynowych</v>
      </c>
      <c r="AU65" s="13" t="str">
        <v>CRO</v>
      </c>
      <c r="AV65" s="13" t="str">
        <v>Mroźnia/Chłodnia</v>
      </c>
      <c r="AW65" s="13" t="str">
        <v>Regały chłodnicze</v>
      </c>
      <c r="AX65" s="13" t="str">
        <v>Separatory tłuszczu</v>
      </c>
      <c r="AY65" s="13" t="str">
        <v>Vendingi</v>
      </c>
      <c r="AZ65" s="13" t="str">
        <v>UDT (wózki widłowe, paleciaki)</v>
      </c>
      <c r="BA65" s="13" t="str">
        <v>BHP (drabiny, schodki, podesty)</v>
      </c>
      <c r="BB65" s="12" t="str">
        <v>Ansul</v>
      </c>
      <c r="BC65" s="12" t="str">
        <v>Okap</v>
      </c>
      <c r="BD65" s="12" t="str">
        <v>Brama garażowa</v>
      </c>
      <c r="BE65" s="12" t="str">
        <v>Żaluzje (gastro)</v>
      </c>
      <c r="BF65" s="12" t="str">
        <v>Bramki antykradzieżowe</v>
      </c>
      <c r="BG65" s="12" t="str">
        <v>Mycie jednostek klimatyzacji</v>
      </c>
    </row>
    <row r="66" spans="1:59" ht="25" customHeight="1" x14ac:dyDescent="0.35">
      <c r="A66" s="12" t="s">
        <v>8</v>
      </c>
      <c r="B66" s="12" t="s">
        <v>44</v>
      </c>
      <c r="C66" s="12" t="s">
        <v>93</v>
      </c>
      <c r="D66" s="12" t="s">
        <v>23</v>
      </c>
      <c r="F66" s="1"/>
      <c r="G66" s="4" t="str">
        <f t="shared" si="4"/>
        <v/>
      </c>
      <c r="H66" s="12" t="str">
        <f t="shared" ca="1" si="11"/>
        <v/>
      </c>
      <c r="I66" s="14"/>
      <c r="J66" s="1" t="str">
        <f t="shared" ref="J66:J87" si="12">IF(COUNTA(A66:F66)=0,"",IF(I66="","BRAK PROTOKOŁU","DODANY"))</f>
        <v>BRAK PROTOKOŁU</v>
      </c>
      <c r="K66" s="1"/>
      <c r="M66" s="13" t="str" cm="1">
        <f t="array" ref="M66:AD66">IF($A66="","",IFERROR(TRANSPOSE(_xlfn._xlws.FILTER(Lokale!$C$3:$C$91,Lokale!$B$3:$B$91=$A66)),""))</f>
        <v>170 (Glamour)</v>
      </c>
      <c r="N66" s="13" t="str">
        <v>171 (Starter Dworzec)</v>
      </c>
      <c r="O66" s="13" t="str">
        <v>172 (Starter Przyloty)</v>
      </c>
      <c r="P66" s="13" t="str">
        <v>173 (LMDL2)</v>
      </c>
      <c r="Q66" s="13" t="str">
        <v>174 (Zoom NS)</v>
      </c>
      <c r="R66" s="13" t="str">
        <v>175 (Ministore NS)</v>
      </c>
      <c r="S66" s="13" t="str">
        <v>176 (Zoom odloty)</v>
      </c>
      <c r="T66" s="13" t="str">
        <v>177 (Spirit of Poland)</v>
      </c>
      <c r="U66" s="13" t="str">
        <v>178 (Multistore)</v>
      </c>
      <c r="V66" s="13" t="str">
        <v>179 (ZOOM)</v>
      </c>
      <c r="W66" s="13" t="str">
        <v>180 (Starter odloty)</v>
      </c>
      <c r="X66" s="13" t="str">
        <v>181 (Bestseller)</v>
      </c>
      <c r="Y66" s="13" t="str">
        <v>182 (Zoom palarnia)</v>
      </c>
      <c r="Z66" s="13" t="str">
        <v>183 (LMDL)</v>
      </c>
      <c r="AA66" s="13" t="str">
        <v>187 (Zoom NS)</v>
      </c>
      <c r="AB66" s="13" t="str">
        <v>208 (PIZZA)</v>
      </c>
      <c r="AC66" s="13" t="str">
        <v>532 (Magazyn)</v>
      </c>
      <c r="AD66" s="13" t="str">
        <v>Wszystkie lokale</v>
      </c>
      <c r="AJ66" s="13" t="str" cm="1">
        <f t="array" ref="AJ66:BG66">IF($C66="","",IFERROR(TRANSPOSE(_xlfn._xlws.FILTER(Listy!$D$2:$D$60,Listy!$C$2:$C$60=$C66)),""))</f>
        <v>Elektryczny (roczny)</v>
      </c>
      <c r="AK66" s="13" t="str">
        <v>Elektryczny (5-cio letni)</v>
      </c>
      <c r="AL66" s="13" t="str">
        <v>Systemy PPOŻ</v>
      </c>
      <c r="AM66" s="13" t="str">
        <v>Gaśnice</v>
      </c>
      <c r="AN66" s="13" t="str">
        <v>Klimatyzacja</v>
      </c>
      <c r="AO66" s="13" t="str">
        <v>Alarmy</v>
      </c>
      <c r="AP66" s="13" t="str">
        <v>Hydranty</v>
      </c>
      <c r="AQ66" s="13" t="str">
        <v xml:space="preserve">Rolety </v>
      </c>
      <c r="AR66" s="13" t="str">
        <v>Wentylacja</v>
      </c>
      <c r="AS66" s="13" t="str">
        <v>Wymiana filtrów</v>
      </c>
      <c r="AT66" s="13" t="str">
        <v>Regałów magazynowych</v>
      </c>
      <c r="AU66" s="13" t="str">
        <v>CRO</v>
      </c>
      <c r="AV66" s="13" t="str">
        <v>Mroźnia/Chłodnia</v>
      </c>
      <c r="AW66" s="13" t="str">
        <v>Regały chłodnicze</v>
      </c>
      <c r="AX66" s="13" t="str">
        <v>Separatory tłuszczu</v>
      </c>
      <c r="AY66" s="13" t="str">
        <v>Vendingi</v>
      </c>
      <c r="AZ66" s="13" t="str">
        <v>UDT (wózki widłowe, paleciaki)</v>
      </c>
      <c r="BA66" s="13" t="str">
        <v>BHP (drabiny, schodki, podesty)</v>
      </c>
      <c r="BB66" s="12" t="str">
        <v>Ansul</v>
      </c>
      <c r="BC66" s="12" t="str">
        <v>Okap</v>
      </c>
      <c r="BD66" s="12" t="str">
        <v>Brama garażowa</v>
      </c>
      <c r="BE66" s="12" t="str">
        <v>Żaluzje (gastro)</v>
      </c>
      <c r="BF66" s="12" t="str">
        <v>Bramki antykradzieżowe</v>
      </c>
      <c r="BG66" s="12" t="str">
        <v>Mycie jednostek klimatyzacji</v>
      </c>
    </row>
    <row r="67" spans="1:59" ht="25" customHeight="1" x14ac:dyDescent="0.35">
      <c r="A67" s="12" t="s">
        <v>8</v>
      </c>
      <c r="B67" s="12" t="s">
        <v>44</v>
      </c>
      <c r="C67" s="12" t="s">
        <v>93</v>
      </c>
      <c r="D67" s="12" t="s">
        <v>76</v>
      </c>
      <c r="F67" s="1"/>
      <c r="G67" s="4" t="str">
        <f t="shared" si="4"/>
        <v/>
      </c>
      <c r="H67" s="12" t="str">
        <f t="shared" ca="1" si="11"/>
        <v/>
      </c>
      <c r="I67" s="14"/>
      <c r="J67" s="1" t="str">
        <f t="shared" si="12"/>
        <v>BRAK PROTOKOŁU</v>
      </c>
      <c r="K67" s="1"/>
      <c r="M67" s="13" t="str" cm="1">
        <f t="array" ref="M67:AD67">IF($A67="","",IFERROR(TRANSPOSE(_xlfn._xlws.FILTER(Lokale!$C$3:$C$91,Lokale!$B$3:$B$91=$A67)),""))</f>
        <v>170 (Glamour)</v>
      </c>
      <c r="N67" s="13" t="str">
        <v>171 (Starter Dworzec)</v>
      </c>
      <c r="O67" s="13" t="str">
        <v>172 (Starter Przyloty)</v>
      </c>
      <c r="P67" s="13" t="str">
        <v>173 (LMDL2)</v>
      </c>
      <c r="Q67" s="13" t="str">
        <v>174 (Zoom NS)</v>
      </c>
      <c r="R67" s="13" t="str">
        <v>175 (Ministore NS)</v>
      </c>
      <c r="S67" s="13" t="str">
        <v>176 (Zoom odloty)</v>
      </c>
      <c r="T67" s="13" t="str">
        <v>177 (Spirit of Poland)</v>
      </c>
      <c r="U67" s="13" t="str">
        <v>178 (Multistore)</v>
      </c>
      <c r="V67" s="13" t="str">
        <v>179 (ZOOM)</v>
      </c>
      <c r="W67" s="13" t="str">
        <v>180 (Starter odloty)</v>
      </c>
      <c r="X67" s="13" t="str">
        <v>181 (Bestseller)</v>
      </c>
      <c r="Y67" s="13" t="str">
        <v>182 (Zoom palarnia)</v>
      </c>
      <c r="Z67" s="13" t="str">
        <v>183 (LMDL)</v>
      </c>
      <c r="AA67" s="13" t="str">
        <v>187 (Zoom NS)</v>
      </c>
      <c r="AB67" s="13" t="str">
        <v>208 (PIZZA)</v>
      </c>
      <c r="AC67" s="13" t="str">
        <v>532 (Magazyn)</v>
      </c>
      <c r="AD67" s="13" t="str">
        <v>Wszystkie lokale</v>
      </c>
      <c r="AJ67" s="13" t="str" cm="1">
        <f t="array" ref="AJ67:BG67">IF($C67="","",IFERROR(TRANSPOSE(_xlfn._xlws.FILTER(Listy!$D$2:$D$60,Listy!$C$2:$C$60=$C67)),""))</f>
        <v>Elektryczny (roczny)</v>
      </c>
      <c r="AK67" s="13" t="str">
        <v>Elektryczny (5-cio letni)</v>
      </c>
      <c r="AL67" s="13" t="str">
        <v>Systemy PPOŻ</v>
      </c>
      <c r="AM67" s="13" t="str">
        <v>Gaśnice</v>
      </c>
      <c r="AN67" s="13" t="str">
        <v>Klimatyzacja</v>
      </c>
      <c r="AO67" s="13" t="str">
        <v>Alarmy</v>
      </c>
      <c r="AP67" s="13" t="str">
        <v>Hydranty</v>
      </c>
      <c r="AQ67" s="13" t="str">
        <v xml:space="preserve">Rolety </v>
      </c>
      <c r="AR67" s="13" t="str">
        <v>Wentylacja</v>
      </c>
      <c r="AS67" s="13" t="str">
        <v>Wymiana filtrów</v>
      </c>
      <c r="AT67" s="13" t="str">
        <v>Regałów magazynowych</v>
      </c>
      <c r="AU67" s="13" t="str">
        <v>CRO</v>
      </c>
      <c r="AV67" s="13" t="str">
        <v>Mroźnia/Chłodnia</v>
      </c>
      <c r="AW67" s="13" t="str">
        <v>Regały chłodnicze</v>
      </c>
      <c r="AX67" s="13" t="str">
        <v>Separatory tłuszczu</v>
      </c>
      <c r="AY67" s="13" t="str">
        <v>Vendingi</v>
      </c>
      <c r="AZ67" s="13" t="str">
        <v>UDT (wózki widłowe, paleciaki)</v>
      </c>
      <c r="BA67" s="13" t="str">
        <v>BHP (drabiny, schodki, podesty)</v>
      </c>
      <c r="BB67" s="12" t="str">
        <v>Ansul</v>
      </c>
      <c r="BC67" s="12" t="str">
        <v>Okap</v>
      </c>
      <c r="BD67" s="12" t="str">
        <v>Brama garażowa</v>
      </c>
      <c r="BE67" s="12" t="str">
        <v>Żaluzje (gastro)</v>
      </c>
      <c r="BF67" s="12" t="str">
        <v>Bramki antykradzieżowe</v>
      </c>
      <c r="BG67" s="12" t="str">
        <v>Mycie jednostek klimatyzacji</v>
      </c>
    </row>
    <row r="68" spans="1:59" ht="25" customHeight="1" x14ac:dyDescent="0.35">
      <c r="A68" s="12" t="s">
        <v>8</v>
      </c>
      <c r="B68" s="12" t="s">
        <v>44</v>
      </c>
      <c r="C68" s="12" t="s">
        <v>93</v>
      </c>
      <c r="D68" s="12" t="s">
        <v>84</v>
      </c>
      <c r="F68" s="1"/>
      <c r="G68" s="4" t="str">
        <f t="shared" si="4"/>
        <v/>
      </c>
      <c r="H68" s="12" t="str">
        <f t="shared" ca="1" si="11"/>
        <v/>
      </c>
      <c r="I68" s="14"/>
      <c r="J68" s="1" t="str">
        <f t="shared" si="12"/>
        <v>BRAK PROTOKOŁU</v>
      </c>
      <c r="K68" s="1"/>
      <c r="M68" s="13" t="str" cm="1">
        <f t="array" ref="M68:AD68">IF($A68="","",IFERROR(TRANSPOSE(_xlfn._xlws.FILTER(Lokale!$C$3:$C$91,Lokale!$B$3:$B$91=$A68)),""))</f>
        <v>170 (Glamour)</v>
      </c>
      <c r="N68" s="13" t="str">
        <v>171 (Starter Dworzec)</v>
      </c>
      <c r="O68" s="13" t="str">
        <v>172 (Starter Przyloty)</v>
      </c>
      <c r="P68" s="13" t="str">
        <v>173 (LMDL2)</v>
      </c>
      <c r="Q68" s="13" t="str">
        <v>174 (Zoom NS)</v>
      </c>
      <c r="R68" s="13" t="str">
        <v>175 (Ministore NS)</v>
      </c>
      <c r="S68" s="13" t="str">
        <v>176 (Zoom odloty)</v>
      </c>
      <c r="T68" s="13" t="str">
        <v>177 (Spirit of Poland)</v>
      </c>
      <c r="U68" s="13" t="str">
        <v>178 (Multistore)</v>
      </c>
      <c r="V68" s="13" t="str">
        <v>179 (ZOOM)</v>
      </c>
      <c r="W68" s="13" t="str">
        <v>180 (Starter odloty)</v>
      </c>
      <c r="X68" s="13" t="str">
        <v>181 (Bestseller)</v>
      </c>
      <c r="Y68" s="13" t="str">
        <v>182 (Zoom palarnia)</v>
      </c>
      <c r="Z68" s="13" t="str">
        <v>183 (LMDL)</v>
      </c>
      <c r="AA68" s="13" t="str">
        <v>187 (Zoom NS)</v>
      </c>
      <c r="AB68" s="13" t="str">
        <v>208 (PIZZA)</v>
      </c>
      <c r="AC68" s="13" t="str">
        <v>532 (Magazyn)</v>
      </c>
      <c r="AD68" s="13" t="str">
        <v>Wszystkie lokale</v>
      </c>
      <c r="AJ68" s="13" t="str" cm="1">
        <f t="array" ref="AJ68:BG68">IF($C68="","",IFERROR(TRANSPOSE(_xlfn._xlws.FILTER(Listy!$D$2:$D$60,Listy!$C$2:$C$60=$C68)),""))</f>
        <v>Elektryczny (roczny)</v>
      </c>
      <c r="AK68" s="13" t="str">
        <v>Elektryczny (5-cio letni)</v>
      </c>
      <c r="AL68" s="13" t="str">
        <v>Systemy PPOŻ</v>
      </c>
      <c r="AM68" s="13" t="str">
        <v>Gaśnice</v>
      </c>
      <c r="AN68" s="13" t="str">
        <v>Klimatyzacja</v>
      </c>
      <c r="AO68" s="13" t="str">
        <v>Alarmy</v>
      </c>
      <c r="AP68" s="13" t="str">
        <v>Hydranty</v>
      </c>
      <c r="AQ68" s="13" t="str">
        <v xml:space="preserve">Rolety </v>
      </c>
      <c r="AR68" s="13" t="str">
        <v>Wentylacja</v>
      </c>
      <c r="AS68" s="13" t="str">
        <v>Wymiana filtrów</v>
      </c>
      <c r="AT68" s="13" t="str">
        <v>Regałów magazynowych</v>
      </c>
      <c r="AU68" s="13" t="str">
        <v>CRO</v>
      </c>
      <c r="AV68" s="13" t="str">
        <v>Mroźnia/Chłodnia</v>
      </c>
      <c r="AW68" s="13" t="str">
        <v>Regały chłodnicze</v>
      </c>
      <c r="AX68" s="13" t="str">
        <v>Separatory tłuszczu</v>
      </c>
      <c r="AY68" s="13" t="str">
        <v>Vendingi</v>
      </c>
      <c r="AZ68" s="13" t="str">
        <v>UDT (wózki widłowe, paleciaki)</v>
      </c>
      <c r="BA68" s="13" t="str">
        <v>BHP (drabiny, schodki, podesty)</v>
      </c>
      <c r="BB68" s="12" t="str">
        <v>Ansul</v>
      </c>
      <c r="BC68" s="12" t="str">
        <v>Okap</v>
      </c>
      <c r="BD68" s="12" t="str">
        <v>Brama garażowa</v>
      </c>
      <c r="BE68" s="12" t="str">
        <v>Żaluzje (gastro)</v>
      </c>
      <c r="BF68" s="12" t="str">
        <v>Bramki antykradzieżowe</v>
      </c>
      <c r="BG68" s="12" t="str">
        <v>Mycie jednostek klimatyzacji</v>
      </c>
    </row>
    <row r="69" spans="1:59" ht="25" customHeight="1" x14ac:dyDescent="0.35">
      <c r="A69" s="12" t="s">
        <v>8</v>
      </c>
      <c r="B69" s="12" t="s">
        <v>44</v>
      </c>
      <c r="C69" s="12" t="s">
        <v>94</v>
      </c>
      <c r="D69" s="12" t="s">
        <v>80</v>
      </c>
      <c r="F69" s="1"/>
      <c r="G69" s="4" t="str">
        <f t="shared" si="4"/>
        <v/>
      </c>
      <c r="H69" s="12" t="str">
        <f t="shared" ca="1" si="11"/>
        <v/>
      </c>
      <c r="I69" s="14"/>
      <c r="J69" s="1" t="str">
        <f t="shared" si="12"/>
        <v>BRAK PROTOKOŁU</v>
      </c>
      <c r="K69" s="1"/>
      <c r="M69" s="13" t="str" cm="1">
        <f t="array" ref="M69:AD69">IF($A69="","",IFERROR(TRANSPOSE(_xlfn._xlws.FILTER(Lokale!$C$3:$C$91,Lokale!$B$3:$B$91=$A69)),""))</f>
        <v>170 (Glamour)</v>
      </c>
      <c r="N69" s="13" t="str">
        <v>171 (Starter Dworzec)</v>
      </c>
      <c r="O69" s="13" t="str">
        <v>172 (Starter Przyloty)</v>
      </c>
      <c r="P69" s="13" t="str">
        <v>173 (LMDL2)</v>
      </c>
      <c r="Q69" s="13" t="str">
        <v>174 (Zoom NS)</v>
      </c>
      <c r="R69" s="13" t="str">
        <v>175 (Ministore NS)</v>
      </c>
      <c r="S69" s="13" t="str">
        <v>176 (Zoom odloty)</v>
      </c>
      <c r="T69" s="13" t="str">
        <v>177 (Spirit of Poland)</v>
      </c>
      <c r="U69" s="13" t="str">
        <v>178 (Multistore)</v>
      </c>
      <c r="V69" s="13" t="str">
        <v>179 (ZOOM)</v>
      </c>
      <c r="W69" s="13" t="str">
        <v>180 (Starter odloty)</v>
      </c>
      <c r="X69" s="13" t="str">
        <v>181 (Bestseller)</v>
      </c>
      <c r="Y69" s="13" t="str">
        <v>182 (Zoom palarnia)</v>
      </c>
      <c r="Z69" s="13" t="str">
        <v>183 (LMDL)</v>
      </c>
      <c r="AA69" s="13" t="str">
        <v>187 (Zoom NS)</v>
      </c>
      <c r="AB69" s="13" t="str">
        <v>208 (PIZZA)</v>
      </c>
      <c r="AC69" s="13" t="str">
        <v>532 (Magazyn)</v>
      </c>
      <c r="AD69" s="13" t="str">
        <v>Wszystkie lokale</v>
      </c>
      <c r="AJ69" s="13" t="str" cm="1">
        <f t="array" ref="AJ69:AX69">IF($C69="","",IFERROR(TRANSPOSE(_xlfn._xlws.FILTER(Listy!$D$2:$D$60,Listy!$C$2:$C$60=$C69)),""))</f>
        <v>Klamki na kod</v>
      </c>
      <c r="AK69" s="13" t="str">
        <v>Oświetlenie</v>
      </c>
      <c r="AL69" s="13" t="str">
        <v>Drzwi przeciwpożarowe</v>
      </c>
      <c r="AM69" s="13" t="str">
        <v>Drzwi na zaplecze</v>
      </c>
      <c r="AN69" s="13" t="str">
        <v>Systemy multmedialne</v>
      </c>
      <c r="AO69" s="13" t="str">
        <v>Posadzki, wykładziny</v>
      </c>
      <c r="AP69" s="13" t="str">
        <v>Kontrola kurzu</v>
      </c>
      <c r="AQ69" s="13" t="str">
        <v>Light boxy</v>
      </c>
      <c r="AR69" s="13" t="str">
        <v>Floorboxy</v>
      </c>
      <c r="AS69" s="13" t="str">
        <v>Meble</v>
      </c>
      <c r="AT69" s="13" t="str">
        <v>Szyby</v>
      </c>
      <c r="AU69" s="13" t="str">
        <v>Lampy owadobójcze</v>
      </c>
      <c r="AV69" s="13" t="str">
        <v>Samochody</v>
      </c>
      <c r="AW69" s="13" t="str">
        <v>Windy w samochodach</v>
      </c>
      <c r="AX69" s="13" t="str">
        <v>Sprawdzenie pompy odpływowej</v>
      </c>
    </row>
    <row r="70" spans="1:59" ht="25" customHeight="1" x14ac:dyDescent="0.35">
      <c r="A70" s="12" t="s">
        <v>8</v>
      </c>
      <c r="B70" s="12" t="s">
        <v>44</v>
      </c>
      <c r="C70" s="12" t="s">
        <v>94</v>
      </c>
      <c r="D70" s="12" t="s">
        <v>79</v>
      </c>
      <c r="F70" s="1"/>
      <c r="G70" s="4" t="str">
        <f t="shared" si="4"/>
        <v/>
      </c>
      <c r="H70" s="12" t="str">
        <f t="shared" ca="1" si="11"/>
        <v/>
      </c>
      <c r="I70" s="14"/>
      <c r="J70" s="1" t="str">
        <f t="shared" si="12"/>
        <v>BRAK PROTOKOŁU</v>
      </c>
      <c r="K70" s="1"/>
      <c r="M70" s="13" t="str" cm="1">
        <f t="array" ref="M70:AD70">IF($A70="","",IFERROR(TRANSPOSE(_xlfn._xlws.FILTER(Lokale!$C$3:$C$91,Lokale!$B$3:$B$91=$A70)),""))</f>
        <v>170 (Glamour)</v>
      </c>
      <c r="N70" s="13" t="str">
        <v>171 (Starter Dworzec)</v>
      </c>
      <c r="O70" s="13" t="str">
        <v>172 (Starter Przyloty)</v>
      </c>
      <c r="P70" s="13" t="str">
        <v>173 (LMDL2)</v>
      </c>
      <c r="Q70" s="13" t="str">
        <v>174 (Zoom NS)</v>
      </c>
      <c r="R70" s="13" t="str">
        <v>175 (Ministore NS)</v>
      </c>
      <c r="S70" s="13" t="str">
        <v>176 (Zoom odloty)</v>
      </c>
      <c r="T70" s="13" t="str">
        <v>177 (Spirit of Poland)</v>
      </c>
      <c r="U70" s="13" t="str">
        <v>178 (Multistore)</v>
      </c>
      <c r="V70" s="13" t="str">
        <v>179 (ZOOM)</v>
      </c>
      <c r="W70" s="13" t="str">
        <v>180 (Starter odloty)</v>
      </c>
      <c r="X70" s="13" t="str">
        <v>181 (Bestseller)</v>
      </c>
      <c r="Y70" s="13" t="str">
        <v>182 (Zoom palarnia)</v>
      </c>
      <c r="Z70" s="13" t="str">
        <v>183 (LMDL)</v>
      </c>
      <c r="AA70" s="13" t="str">
        <v>187 (Zoom NS)</v>
      </c>
      <c r="AB70" s="13" t="str">
        <v>208 (PIZZA)</v>
      </c>
      <c r="AC70" s="13" t="str">
        <v>532 (Magazyn)</v>
      </c>
      <c r="AD70" s="13" t="str">
        <v>Wszystkie lokale</v>
      </c>
      <c r="AJ70" s="13" t="str" cm="1">
        <f t="array" ref="AJ70:AX70">IF($C70="","",IFERROR(TRANSPOSE(_xlfn._xlws.FILTER(Listy!$D$2:$D$60,Listy!$C$2:$C$60=$C70)),""))</f>
        <v>Klamki na kod</v>
      </c>
      <c r="AK70" s="13" t="str">
        <v>Oświetlenie</v>
      </c>
      <c r="AL70" s="13" t="str">
        <v>Drzwi przeciwpożarowe</v>
      </c>
      <c r="AM70" s="13" t="str">
        <v>Drzwi na zaplecze</v>
      </c>
      <c r="AN70" s="13" t="str">
        <v>Systemy multmedialne</v>
      </c>
      <c r="AO70" s="13" t="str">
        <v>Posadzki, wykładziny</v>
      </c>
      <c r="AP70" s="13" t="str">
        <v>Kontrola kurzu</v>
      </c>
      <c r="AQ70" s="13" t="str">
        <v>Light boxy</v>
      </c>
      <c r="AR70" s="13" t="str">
        <v>Floorboxy</v>
      </c>
      <c r="AS70" s="13" t="str">
        <v>Meble</v>
      </c>
      <c r="AT70" s="13" t="str">
        <v>Szyby</v>
      </c>
      <c r="AU70" s="13" t="str">
        <v>Lampy owadobójcze</v>
      </c>
      <c r="AV70" s="13" t="str">
        <v>Samochody</v>
      </c>
      <c r="AW70" s="13" t="str">
        <v>Windy w samochodach</v>
      </c>
      <c r="AX70" s="13" t="str">
        <v>Sprawdzenie pompy odpływowej</v>
      </c>
    </row>
    <row r="71" spans="1:59" ht="25" customHeight="1" x14ac:dyDescent="0.35">
      <c r="A71" s="12" t="s">
        <v>8</v>
      </c>
      <c r="B71" s="12" t="s">
        <v>44</v>
      </c>
      <c r="C71" s="12" t="s">
        <v>94</v>
      </c>
      <c r="D71" s="12" t="s">
        <v>83</v>
      </c>
      <c r="F71" s="1"/>
      <c r="G71" s="4" t="str">
        <f t="shared" si="4"/>
        <v/>
      </c>
      <c r="H71" s="12" t="str">
        <f t="shared" ca="1" si="11"/>
        <v/>
      </c>
      <c r="I71" s="14"/>
      <c r="J71" s="1" t="str">
        <f t="shared" si="12"/>
        <v>BRAK PROTOKOŁU</v>
      </c>
      <c r="K71" s="1"/>
      <c r="M71" s="13" t="str" cm="1">
        <f t="array" ref="M71:AD71">IF($A71="","",IFERROR(TRANSPOSE(_xlfn._xlws.FILTER(Lokale!$C$3:$C$91,Lokale!$B$3:$B$91=$A71)),""))</f>
        <v>170 (Glamour)</v>
      </c>
      <c r="N71" s="13" t="str">
        <v>171 (Starter Dworzec)</v>
      </c>
      <c r="O71" s="13" t="str">
        <v>172 (Starter Przyloty)</v>
      </c>
      <c r="P71" s="13" t="str">
        <v>173 (LMDL2)</v>
      </c>
      <c r="Q71" s="13" t="str">
        <v>174 (Zoom NS)</v>
      </c>
      <c r="R71" s="13" t="str">
        <v>175 (Ministore NS)</v>
      </c>
      <c r="S71" s="13" t="str">
        <v>176 (Zoom odloty)</v>
      </c>
      <c r="T71" s="13" t="str">
        <v>177 (Spirit of Poland)</v>
      </c>
      <c r="U71" s="13" t="str">
        <v>178 (Multistore)</v>
      </c>
      <c r="V71" s="13" t="str">
        <v>179 (ZOOM)</v>
      </c>
      <c r="W71" s="13" t="str">
        <v>180 (Starter odloty)</v>
      </c>
      <c r="X71" s="13" t="str">
        <v>181 (Bestseller)</v>
      </c>
      <c r="Y71" s="13" t="str">
        <v>182 (Zoom palarnia)</v>
      </c>
      <c r="Z71" s="13" t="str">
        <v>183 (LMDL)</v>
      </c>
      <c r="AA71" s="13" t="str">
        <v>187 (Zoom NS)</v>
      </c>
      <c r="AB71" s="13" t="str">
        <v>208 (PIZZA)</v>
      </c>
      <c r="AC71" s="13" t="str">
        <v>532 (Magazyn)</v>
      </c>
      <c r="AD71" s="13" t="str">
        <v>Wszystkie lokale</v>
      </c>
      <c r="AJ71" s="13" t="str" cm="1">
        <f t="array" ref="AJ71:AX71">IF($C71="","",IFERROR(TRANSPOSE(_xlfn._xlws.FILTER(Listy!$D$2:$D$60,Listy!$C$2:$C$60=$C71)),""))</f>
        <v>Klamki na kod</v>
      </c>
      <c r="AK71" s="13" t="str">
        <v>Oświetlenie</v>
      </c>
      <c r="AL71" s="13" t="str">
        <v>Drzwi przeciwpożarowe</v>
      </c>
      <c r="AM71" s="13" t="str">
        <v>Drzwi na zaplecze</v>
      </c>
      <c r="AN71" s="13" t="str">
        <v>Systemy multmedialne</v>
      </c>
      <c r="AO71" s="13" t="str">
        <v>Posadzki, wykładziny</v>
      </c>
      <c r="AP71" s="13" t="str">
        <v>Kontrola kurzu</v>
      </c>
      <c r="AQ71" s="13" t="str">
        <v>Light boxy</v>
      </c>
      <c r="AR71" s="13" t="str">
        <v>Floorboxy</v>
      </c>
      <c r="AS71" s="13" t="str">
        <v>Meble</v>
      </c>
      <c r="AT71" s="13" t="str">
        <v>Szyby</v>
      </c>
      <c r="AU71" s="13" t="str">
        <v>Lampy owadobójcze</v>
      </c>
      <c r="AV71" s="13" t="str">
        <v>Samochody</v>
      </c>
      <c r="AW71" s="13" t="str">
        <v>Windy w samochodach</v>
      </c>
      <c r="AX71" s="13" t="str">
        <v>Sprawdzenie pompy odpływowej</v>
      </c>
    </row>
    <row r="72" spans="1:59" ht="25" customHeight="1" x14ac:dyDescent="0.35">
      <c r="A72" s="12" t="s">
        <v>8</v>
      </c>
      <c r="B72" s="12" t="s">
        <v>44</v>
      </c>
      <c r="C72" s="12" t="s">
        <v>94</v>
      </c>
      <c r="D72" s="12" t="s">
        <v>89</v>
      </c>
      <c r="F72" s="1"/>
      <c r="G72" s="4" t="str">
        <f t="shared" si="4"/>
        <v/>
      </c>
      <c r="H72" s="12" t="str">
        <f t="shared" ca="1" si="11"/>
        <v/>
      </c>
      <c r="I72" s="14"/>
      <c r="J72" s="1" t="str">
        <f t="shared" si="12"/>
        <v>BRAK PROTOKOŁU</v>
      </c>
      <c r="K72" s="1"/>
      <c r="M72" s="13" t="str" cm="1">
        <f t="array" ref="M72:AD72">IF($A72="","",IFERROR(TRANSPOSE(_xlfn._xlws.FILTER(Lokale!$C$3:$C$91,Lokale!$B$3:$B$91=$A72)),""))</f>
        <v>170 (Glamour)</v>
      </c>
      <c r="N72" s="13" t="str">
        <v>171 (Starter Dworzec)</v>
      </c>
      <c r="O72" s="13" t="str">
        <v>172 (Starter Przyloty)</v>
      </c>
      <c r="P72" s="13" t="str">
        <v>173 (LMDL2)</v>
      </c>
      <c r="Q72" s="13" t="str">
        <v>174 (Zoom NS)</v>
      </c>
      <c r="R72" s="13" t="str">
        <v>175 (Ministore NS)</v>
      </c>
      <c r="S72" s="13" t="str">
        <v>176 (Zoom odloty)</v>
      </c>
      <c r="T72" s="13" t="str">
        <v>177 (Spirit of Poland)</v>
      </c>
      <c r="U72" s="13" t="str">
        <v>178 (Multistore)</v>
      </c>
      <c r="V72" s="13" t="str">
        <v>179 (ZOOM)</v>
      </c>
      <c r="W72" s="13" t="str">
        <v>180 (Starter odloty)</v>
      </c>
      <c r="X72" s="13" t="str">
        <v>181 (Bestseller)</v>
      </c>
      <c r="Y72" s="13" t="str">
        <v>182 (Zoom palarnia)</v>
      </c>
      <c r="Z72" s="13" t="str">
        <v>183 (LMDL)</v>
      </c>
      <c r="AA72" s="13" t="str">
        <v>187 (Zoom NS)</v>
      </c>
      <c r="AB72" s="13" t="str">
        <v>208 (PIZZA)</v>
      </c>
      <c r="AC72" s="13" t="str">
        <v>532 (Magazyn)</v>
      </c>
      <c r="AD72" s="13" t="str">
        <v>Wszystkie lokale</v>
      </c>
      <c r="AJ72" s="13" t="str" cm="1">
        <f t="array" ref="AJ72:AX72">IF($C72="","",IFERROR(TRANSPOSE(_xlfn._xlws.FILTER(Listy!$D$2:$D$60,Listy!$C$2:$C$60=$C72)),""))</f>
        <v>Klamki na kod</v>
      </c>
      <c r="AK72" s="13" t="str">
        <v>Oświetlenie</v>
      </c>
      <c r="AL72" s="13" t="str">
        <v>Drzwi przeciwpożarowe</v>
      </c>
      <c r="AM72" s="13" t="str">
        <v>Drzwi na zaplecze</v>
      </c>
      <c r="AN72" s="13" t="str">
        <v>Systemy multmedialne</v>
      </c>
      <c r="AO72" s="13" t="str">
        <v>Posadzki, wykładziny</v>
      </c>
      <c r="AP72" s="13" t="str">
        <v>Kontrola kurzu</v>
      </c>
      <c r="AQ72" s="13" t="str">
        <v>Light boxy</v>
      </c>
      <c r="AR72" s="13" t="str">
        <v>Floorboxy</v>
      </c>
      <c r="AS72" s="13" t="str">
        <v>Meble</v>
      </c>
      <c r="AT72" s="13" t="str">
        <v>Szyby</v>
      </c>
      <c r="AU72" s="13" t="str">
        <v>Lampy owadobójcze</v>
      </c>
      <c r="AV72" s="13" t="str">
        <v>Samochody</v>
      </c>
      <c r="AW72" s="13" t="str">
        <v>Windy w samochodach</v>
      </c>
      <c r="AX72" s="13" t="str">
        <v>Sprawdzenie pompy odpływowej</v>
      </c>
    </row>
    <row r="73" spans="1:59" ht="25" customHeight="1" x14ac:dyDescent="0.35">
      <c r="A73" s="12" t="s">
        <v>8</v>
      </c>
      <c r="B73" s="12" t="s">
        <v>44</v>
      </c>
      <c r="C73" s="12" t="s">
        <v>94</v>
      </c>
      <c r="D73" s="12" t="s">
        <v>91</v>
      </c>
      <c r="F73" s="1"/>
      <c r="G73" s="4" t="str">
        <f t="shared" si="4"/>
        <v/>
      </c>
      <c r="H73" s="12" t="str">
        <f t="shared" ca="1" si="11"/>
        <v/>
      </c>
      <c r="I73" s="14"/>
      <c r="J73" s="1" t="str">
        <f t="shared" si="12"/>
        <v>BRAK PROTOKOŁU</v>
      </c>
      <c r="K73" s="1"/>
      <c r="M73" s="13" t="str" cm="1">
        <f t="array" ref="M73:AD73">IF($A73="","",IFERROR(TRANSPOSE(_xlfn._xlws.FILTER(Lokale!$C$3:$C$91,Lokale!$B$3:$B$91=$A73)),""))</f>
        <v>170 (Glamour)</v>
      </c>
      <c r="N73" s="13" t="str">
        <v>171 (Starter Dworzec)</v>
      </c>
      <c r="O73" s="13" t="str">
        <v>172 (Starter Przyloty)</v>
      </c>
      <c r="P73" s="13" t="str">
        <v>173 (LMDL2)</v>
      </c>
      <c r="Q73" s="13" t="str">
        <v>174 (Zoom NS)</v>
      </c>
      <c r="R73" s="13" t="str">
        <v>175 (Ministore NS)</v>
      </c>
      <c r="S73" s="13" t="str">
        <v>176 (Zoom odloty)</v>
      </c>
      <c r="T73" s="13" t="str">
        <v>177 (Spirit of Poland)</v>
      </c>
      <c r="U73" s="13" t="str">
        <v>178 (Multistore)</v>
      </c>
      <c r="V73" s="13" t="str">
        <v>179 (ZOOM)</v>
      </c>
      <c r="W73" s="13" t="str">
        <v>180 (Starter odloty)</v>
      </c>
      <c r="X73" s="13" t="str">
        <v>181 (Bestseller)</v>
      </c>
      <c r="Y73" s="13" t="str">
        <v>182 (Zoom palarnia)</v>
      </c>
      <c r="Z73" s="13" t="str">
        <v>183 (LMDL)</v>
      </c>
      <c r="AA73" s="13" t="str">
        <v>187 (Zoom NS)</v>
      </c>
      <c r="AB73" s="13" t="str">
        <v>208 (PIZZA)</v>
      </c>
      <c r="AC73" s="13" t="str">
        <v>532 (Magazyn)</v>
      </c>
      <c r="AD73" s="13" t="str">
        <v>Wszystkie lokale</v>
      </c>
      <c r="AJ73" s="13" t="str" cm="1">
        <f t="array" ref="AJ73:AX73">IF($C73="","",IFERROR(TRANSPOSE(_xlfn._xlws.FILTER(Listy!$D$2:$D$60,Listy!$C$2:$C$60=$C73)),""))</f>
        <v>Klamki na kod</v>
      </c>
      <c r="AK73" s="13" t="str">
        <v>Oświetlenie</v>
      </c>
      <c r="AL73" s="13" t="str">
        <v>Drzwi przeciwpożarowe</v>
      </c>
      <c r="AM73" s="13" t="str">
        <v>Drzwi na zaplecze</v>
      </c>
      <c r="AN73" s="13" t="str">
        <v>Systemy multmedialne</v>
      </c>
      <c r="AO73" s="13" t="str">
        <v>Posadzki, wykładziny</v>
      </c>
      <c r="AP73" s="13" t="str">
        <v>Kontrola kurzu</v>
      </c>
      <c r="AQ73" s="13" t="str">
        <v>Light boxy</v>
      </c>
      <c r="AR73" s="13" t="str">
        <v>Floorboxy</v>
      </c>
      <c r="AS73" s="13" t="str">
        <v>Meble</v>
      </c>
      <c r="AT73" s="13" t="str">
        <v>Szyby</v>
      </c>
      <c r="AU73" s="13" t="str">
        <v>Lampy owadobójcze</v>
      </c>
      <c r="AV73" s="13" t="str">
        <v>Samochody</v>
      </c>
      <c r="AW73" s="13" t="str">
        <v>Windy w samochodach</v>
      </c>
      <c r="AX73" s="13" t="str">
        <v>Sprawdzenie pompy odpływowej</v>
      </c>
    </row>
    <row r="74" spans="1:59" ht="25" customHeight="1" x14ac:dyDescent="0.35">
      <c r="A74" s="12" t="s">
        <v>8</v>
      </c>
      <c r="B74" s="12" t="s">
        <v>44</v>
      </c>
      <c r="C74" s="12" t="s">
        <v>94</v>
      </c>
      <c r="D74" s="12" t="s">
        <v>92</v>
      </c>
      <c r="F74" s="1"/>
      <c r="G74" s="4" t="str">
        <f t="shared" si="4"/>
        <v/>
      </c>
      <c r="H74" s="12" t="str">
        <f t="shared" ca="1" si="11"/>
        <v/>
      </c>
      <c r="I74" s="14"/>
      <c r="J74" s="1" t="str">
        <f t="shared" si="12"/>
        <v>BRAK PROTOKOŁU</v>
      </c>
      <c r="K74" s="1"/>
      <c r="M74" s="13" t="str" cm="1">
        <f t="array" ref="M74:AD74">IF($A74="","",IFERROR(TRANSPOSE(_xlfn._xlws.FILTER(Lokale!$C$3:$C$91,Lokale!$B$3:$B$91=$A74)),""))</f>
        <v>170 (Glamour)</v>
      </c>
      <c r="N74" s="13" t="str">
        <v>171 (Starter Dworzec)</v>
      </c>
      <c r="O74" s="13" t="str">
        <v>172 (Starter Przyloty)</v>
      </c>
      <c r="P74" s="13" t="str">
        <v>173 (LMDL2)</v>
      </c>
      <c r="Q74" s="13" t="str">
        <v>174 (Zoom NS)</v>
      </c>
      <c r="R74" s="13" t="str">
        <v>175 (Ministore NS)</v>
      </c>
      <c r="S74" s="13" t="str">
        <v>176 (Zoom odloty)</v>
      </c>
      <c r="T74" s="13" t="str">
        <v>177 (Spirit of Poland)</v>
      </c>
      <c r="U74" s="13" t="str">
        <v>178 (Multistore)</v>
      </c>
      <c r="V74" s="13" t="str">
        <v>179 (ZOOM)</v>
      </c>
      <c r="W74" s="13" t="str">
        <v>180 (Starter odloty)</v>
      </c>
      <c r="X74" s="13" t="str">
        <v>181 (Bestseller)</v>
      </c>
      <c r="Y74" s="13" t="str">
        <v>182 (Zoom palarnia)</v>
      </c>
      <c r="Z74" s="13" t="str">
        <v>183 (LMDL)</v>
      </c>
      <c r="AA74" s="13" t="str">
        <v>187 (Zoom NS)</v>
      </c>
      <c r="AB74" s="13" t="str">
        <v>208 (PIZZA)</v>
      </c>
      <c r="AC74" s="13" t="str">
        <v>532 (Magazyn)</v>
      </c>
      <c r="AD74" s="13" t="str">
        <v>Wszystkie lokale</v>
      </c>
      <c r="AJ74" s="13" t="str" cm="1">
        <f t="array" ref="AJ74:AX74">IF($C74="","",IFERROR(TRANSPOSE(_xlfn._xlws.FILTER(Listy!$D$2:$D$60,Listy!$C$2:$C$60=$C74)),""))</f>
        <v>Klamki na kod</v>
      </c>
      <c r="AK74" s="13" t="str">
        <v>Oświetlenie</v>
      </c>
      <c r="AL74" s="13" t="str">
        <v>Drzwi przeciwpożarowe</v>
      </c>
      <c r="AM74" s="13" t="str">
        <v>Drzwi na zaplecze</v>
      </c>
      <c r="AN74" s="13" t="str">
        <v>Systemy multmedialne</v>
      </c>
      <c r="AO74" s="13" t="str">
        <v>Posadzki, wykładziny</v>
      </c>
      <c r="AP74" s="13" t="str">
        <v>Kontrola kurzu</v>
      </c>
      <c r="AQ74" s="13" t="str">
        <v>Light boxy</v>
      </c>
      <c r="AR74" s="13" t="str">
        <v>Floorboxy</v>
      </c>
      <c r="AS74" s="13" t="str">
        <v>Meble</v>
      </c>
      <c r="AT74" s="13" t="str">
        <v>Szyby</v>
      </c>
      <c r="AU74" s="13" t="str">
        <v>Lampy owadobójcze</v>
      </c>
      <c r="AV74" s="13" t="str">
        <v>Samochody</v>
      </c>
      <c r="AW74" s="13" t="str">
        <v>Windy w samochodach</v>
      </c>
      <c r="AX74" s="13" t="str">
        <v>Sprawdzenie pompy odpływowej</v>
      </c>
    </row>
    <row r="75" spans="1:59" ht="25" customHeight="1" x14ac:dyDescent="0.35">
      <c r="A75" s="12" t="s">
        <v>8</v>
      </c>
      <c r="B75" s="12" t="s">
        <v>44</v>
      </c>
      <c r="C75" s="12" t="s">
        <v>94</v>
      </c>
      <c r="D75" s="12" t="s">
        <v>82</v>
      </c>
      <c r="F75" s="1"/>
      <c r="G75" s="4" t="str">
        <f t="shared" si="4"/>
        <v/>
      </c>
      <c r="H75" s="12" t="str">
        <f t="shared" ca="1" si="11"/>
        <v/>
      </c>
      <c r="I75" s="14"/>
      <c r="J75" s="1" t="str">
        <f t="shared" si="12"/>
        <v>BRAK PROTOKOŁU</v>
      </c>
      <c r="K75" s="1"/>
      <c r="M75" s="13" t="str" cm="1">
        <f t="array" ref="M75:AD75">IF($A75="","",IFERROR(TRANSPOSE(_xlfn._xlws.FILTER(Lokale!$C$3:$C$91,Lokale!$B$3:$B$91=$A75)),""))</f>
        <v>170 (Glamour)</v>
      </c>
      <c r="N75" s="13" t="str">
        <v>171 (Starter Dworzec)</v>
      </c>
      <c r="O75" s="13" t="str">
        <v>172 (Starter Przyloty)</v>
      </c>
      <c r="P75" s="13" t="str">
        <v>173 (LMDL2)</v>
      </c>
      <c r="Q75" s="13" t="str">
        <v>174 (Zoom NS)</v>
      </c>
      <c r="R75" s="13" t="str">
        <v>175 (Ministore NS)</v>
      </c>
      <c r="S75" s="13" t="str">
        <v>176 (Zoom odloty)</v>
      </c>
      <c r="T75" s="13" t="str">
        <v>177 (Spirit of Poland)</v>
      </c>
      <c r="U75" s="13" t="str">
        <v>178 (Multistore)</v>
      </c>
      <c r="V75" s="13" t="str">
        <v>179 (ZOOM)</v>
      </c>
      <c r="W75" s="13" t="str">
        <v>180 (Starter odloty)</v>
      </c>
      <c r="X75" s="13" t="str">
        <v>181 (Bestseller)</v>
      </c>
      <c r="Y75" s="13" t="str">
        <v>182 (Zoom palarnia)</v>
      </c>
      <c r="Z75" s="13" t="str">
        <v>183 (LMDL)</v>
      </c>
      <c r="AA75" s="13" t="str">
        <v>187 (Zoom NS)</v>
      </c>
      <c r="AB75" s="13" t="str">
        <v>208 (PIZZA)</v>
      </c>
      <c r="AC75" s="13" t="str">
        <v>532 (Magazyn)</v>
      </c>
      <c r="AD75" s="13" t="str">
        <v>Wszystkie lokale</v>
      </c>
      <c r="AJ75" s="13" t="str" cm="1">
        <f t="array" ref="AJ75:AX75">IF($C75="","",IFERROR(TRANSPOSE(_xlfn._xlws.FILTER(Listy!$D$2:$D$60,Listy!$C$2:$C$60=$C75)),""))</f>
        <v>Klamki na kod</v>
      </c>
      <c r="AK75" s="13" t="str">
        <v>Oświetlenie</v>
      </c>
      <c r="AL75" s="13" t="str">
        <v>Drzwi przeciwpożarowe</v>
      </c>
      <c r="AM75" s="13" t="str">
        <v>Drzwi na zaplecze</v>
      </c>
      <c r="AN75" s="13" t="str">
        <v>Systemy multmedialne</v>
      </c>
      <c r="AO75" s="13" t="str">
        <v>Posadzki, wykładziny</v>
      </c>
      <c r="AP75" s="13" t="str">
        <v>Kontrola kurzu</v>
      </c>
      <c r="AQ75" s="13" t="str">
        <v>Light boxy</v>
      </c>
      <c r="AR75" s="13" t="str">
        <v>Floorboxy</v>
      </c>
      <c r="AS75" s="13" t="str">
        <v>Meble</v>
      </c>
      <c r="AT75" s="13" t="str">
        <v>Szyby</v>
      </c>
      <c r="AU75" s="13" t="str">
        <v>Lampy owadobójcze</v>
      </c>
      <c r="AV75" s="13" t="str">
        <v>Samochody</v>
      </c>
      <c r="AW75" s="13" t="str">
        <v>Windy w samochodach</v>
      </c>
      <c r="AX75" s="13" t="str">
        <v>Sprawdzenie pompy odpływowej</v>
      </c>
    </row>
    <row r="76" spans="1:59" ht="25" customHeight="1" x14ac:dyDescent="0.35">
      <c r="A76" s="12" t="s">
        <v>8</v>
      </c>
      <c r="B76" s="12" t="s">
        <v>44</v>
      </c>
      <c r="C76" s="12" t="s">
        <v>94</v>
      </c>
      <c r="D76" s="12" t="s">
        <v>98</v>
      </c>
      <c r="F76" s="1"/>
      <c r="G76" s="4" t="str">
        <f t="shared" si="4"/>
        <v/>
      </c>
      <c r="H76" s="12" t="str">
        <f t="shared" ca="1" si="11"/>
        <v/>
      </c>
      <c r="I76" s="14"/>
      <c r="J76" s="1" t="str">
        <f t="shared" si="12"/>
        <v>BRAK PROTOKOŁU</v>
      </c>
      <c r="K76" s="1"/>
      <c r="M76" s="13" t="str" cm="1">
        <f t="array" ref="M76:AD76">IF($A76="","",IFERROR(TRANSPOSE(_xlfn._xlws.FILTER(Lokale!$C$3:$C$91,Lokale!$B$3:$B$91=$A76)),""))</f>
        <v>170 (Glamour)</v>
      </c>
      <c r="N76" s="13" t="str">
        <v>171 (Starter Dworzec)</v>
      </c>
      <c r="O76" s="13" t="str">
        <v>172 (Starter Przyloty)</v>
      </c>
      <c r="P76" s="13" t="str">
        <v>173 (LMDL2)</v>
      </c>
      <c r="Q76" s="13" t="str">
        <v>174 (Zoom NS)</v>
      </c>
      <c r="R76" s="13" t="str">
        <v>175 (Ministore NS)</v>
      </c>
      <c r="S76" s="13" t="str">
        <v>176 (Zoom odloty)</v>
      </c>
      <c r="T76" s="13" t="str">
        <v>177 (Spirit of Poland)</v>
      </c>
      <c r="U76" s="13" t="str">
        <v>178 (Multistore)</v>
      </c>
      <c r="V76" s="13" t="str">
        <v>179 (ZOOM)</v>
      </c>
      <c r="W76" s="13" t="str">
        <v>180 (Starter odloty)</v>
      </c>
      <c r="X76" s="13" t="str">
        <v>181 (Bestseller)</v>
      </c>
      <c r="Y76" s="13" t="str">
        <v>182 (Zoom palarnia)</v>
      </c>
      <c r="Z76" s="13" t="str">
        <v>183 (LMDL)</v>
      </c>
      <c r="AA76" s="13" t="str">
        <v>187 (Zoom NS)</v>
      </c>
      <c r="AB76" s="13" t="str">
        <v>208 (PIZZA)</v>
      </c>
      <c r="AC76" s="13" t="str">
        <v>532 (Magazyn)</v>
      </c>
      <c r="AD76" s="13" t="str">
        <v>Wszystkie lokale</v>
      </c>
      <c r="AJ76" s="13" t="str" cm="1">
        <f t="array" ref="AJ76:AX76">IF($C76="","",IFERROR(TRANSPOSE(_xlfn._xlws.FILTER(Listy!$D$2:$D$60,Listy!$C$2:$C$60=$C76)),""))</f>
        <v>Klamki na kod</v>
      </c>
      <c r="AK76" s="13" t="str">
        <v>Oświetlenie</v>
      </c>
      <c r="AL76" s="13" t="str">
        <v>Drzwi przeciwpożarowe</v>
      </c>
      <c r="AM76" s="13" t="str">
        <v>Drzwi na zaplecze</v>
      </c>
      <c r="AN76" s="13" t="str">
        <v>Systemy multmedialne</v>
      </c>
      <c r="AO76" s="13" t="str">
        <v>Posadzki, wykładziny</v>
      </c>
      <c r="AP76" s="13" t="str">
        <v>Kontrola kurzu</v>
      </c>
      <c r="AQ76" s="13" t="str">
        <v>Light boxy</v>
      </c>
      <c r="AR76" s="13" t="str">
        <v>Floorboxy</v>
      </c>
      <c r="AS76" s="13" t="str">
        <v>Meble</v>
      </c>
      <c r="AT76" s="13" t="str">
        <v>Szyby</v>
      </c>
      <c r="AU76" s="13" t="str">
        <v>Lampy owadobójcze</v>
      </c>
      <c r="AV76" s="13" t="str">
        <v>Samochody</v>
      </c>
      <c r="AW76" s="13" t="str">
        <v>Windy w samochodach</v>
      </c>
      <c r="AX76" s="13" t="str">
        <v>Sprawdzenie pompy odpływowej</v>
      </c>
    </row>
    <row r="77" spans="1:59" ht="25" customHeight="1" x14ac:dyDescent="0.35">
      <c r="A77" s="12" t="s">
        <v>8</v>
      </c>
      <c r="B77" s="12" t="s">
        <v>44</v>
      </c>
      <c r="C77" s="12" t="s">
        <v>94</v>
      </c>
      <c r="D77" s="12" t="s">
        <v>101</v>
      </c>
      <c r="F77" s="1"/>
      <c r="G77" s="4" t="str">
        <f t="shared" si="4"/>
        <v/>
      </c>
      <c r="H77" s="12" t="str">
        <f t="shared" ca="1" si="11"/>
        <v/>
      </c>
      <c r="I77" s="14"/>
      <c r="J77" s="1" t="str">
        <f t="shared" si="12"/>
        <v>BRAK PROTOKOŁU</v>
      </c>
      <c r="K77" s="1"/>
      <c r="M77" s="13" t="str" cm="1">
        <f t="array" ref="M77:AD77">IF($A77="","",IFERROR(TRANSPOSE(_xlfn._xlws.FILTER(Lokale!$C$3:$C$91,Lokale!$B$3:$B$91=$A77)),""))</f>
        <v>170 (Glamour)</v>
      </c>
      <c r="N77" s="13" t="str">
        <v>171 (Starter Dworzec)</v>
      </c>
      <c r="O77" s="13" t="str">
        <v>172 (Starter Przyloty)</v>
      </c>
      <c r="P77" s="13" t="str">
        <v>173 (LMDL2)</v>
      </c>
      <c r="Q77" s="13" t="str">
        <v>174 (Zoom NS)</v>
      </c>
      <c r="R77" s="13" t="str">
        <v>175 (Ministore NS)</v>
      </c>
      <c r="S77" s="13" t="str">
        <v>176 (Zoom odloty)</v>
      </c>
      <c r="T77" s="13" t="str">
        <v>177 (Spirit of Poland)</v>
      </c>
      <c r="U77" s="13" t="str">
        <v>178 (Multistore)</v>
      </c>
      <c r="V77" s="13" t="str">
        <v>179 (ZOOM)</v>
      </c>
      <c r="W77" s="13" t="str">
        <v>180 (Starter odloty)</v>
      </c>
      <c r="X77" s="13" t="str">
        <v>181 (Bestseller)</v>
      </c>
      <c r="Y77" s="13" t="str">
        <v>182 (Zoom palarnia)</v>
      </c>
      <c r="Z77" s="13" t="str">
        <v>183 (LMDL)</v>
      </c>
      <c r="AA77" s="13" t="str">
        <v>187 (Zoom NS)</v>
      </c>
      <c r="AB77" s="13" t="str">
        <v>208 (PIZZA)</v>
      </c>
      <c r="AC77" s="13" t="str">
        <v>532 (Magazyn)</v>
      </c>
      <c r="AD77" s="13" t="str">
        <v>Wszystkie lokale</v>
      </c>
      <c r="AJ77" s="13" t="str" cm="1">
        <f t="array" ref="AJ77:AX77">IF($C77="","",IFERROR(TRANSPOSE(_xlfn._xlws.FILTER(Listy!$D$2:$D$60,Listy!$C$2:$C$60=$C77)),""))</f>
        <v>Klamki na kod</v>
      </c>
      <c r="AK77" s="13" t="str">
        <v>Oświetlenie</v>
      </c>
      <c r="AL77" s="13" t="str">
        <v>Drzwi przeciwpożarowe</v>
      </c>
      <c r="AM77" s="13" t="str">
        <v>Drzwi na zaplecze</v>
      </c>
      <c r="AN77" s="13" t="str">
        <v>Systemy multmedialne</v>
      </c>
      <c r="AO77" s="13" t="str">
        <v>Posadzki, wykładziny</v>
      </c>
      <c r="AP77" s="13" t="str">
        <v>Kontrola kurzu</v>
      </c>
      <c r="AQ77" s="13" t="str">
        <v>Light boxy</v>
      </c>
      <c r="AR77" s="13" t="str">
        <v>Floorboxy</v>
      </c>
      <c r="AS77" s="13" t="str">
        <v>Meble</v>
      </c>
      <c r="AT77" s="13" t="str">
        <v>Szyby</v>
      </c>
      <c r="AU77" s="13" t="str">
        <v>Lampy owadobójcze</v>
      </c>
      <c r="AV77" s="13" t="str">
        <v>Samochody</v>
      </c>
      <c r="AW77" s="13" t="str">
        <v>Windy w samochodach</v>
      </c>
      <c r="AX77" s="13" t="str">
        <v>Sprawdzenie pompy odpływowej</v>
      </c>
    </row>
    <row r="78" spans="1:59" ht="25" customHeight="1" x14ac:dyDescent="0.35">
      <c r="A78" s="12" t="s">
        <v>8</v>
      </c>
      <c r="B78" s="12" t="s">
        <v>44</v>
      </c>
      <c r="C78" s="12" t="s">
        <v>94</v>
      </c>
      <c r="D78" s="12" t="s">
        <v>109</v>
      </c>
      <c r="F78" s="1"/>
      <c r="G78" s="4" t="str">
        <f t="shared" si="4"/>
        <v/>
      </c>
      <c r="H78" s="12" t="str">
        <f t="shared" ca="1" si="11"/>
        <v/>
      </c>
      <c r="I78" s="14"/>
      <c r="J78" s="1" t="str">
        <f t="shared" si="12"/>
        <v>BRAK PROTOKOŁU</v>
      </c>
      <c r="K78" s="1"/>
      <c r="M78" s="13" t="str" cm="1">
        <f t="array" ref="M78:AD78">IF($A78="","",IFERROR(TRANSPOSE(_xlfn._xlws.FILTER(Lokale!$C$3:$C$91,Lokale!$B$3:$B$91=$A78)),""))</f>
        <v>170 (Glamour)</v>
      </c>
      <c r="N78" s="13" t="str">
        <v>171 (Starter Dworzec)</v>
      </c>
      <c r="O78" s="13" t="str">
        <v>172 (Starter Przyloty)</v>
      </c>
      <c r="P78" s="13" t="str">
        <v>173 (LMDL2)</v>
      </c>
      <c r="Q78" s="13" t="str">
        <v>174 (Zoom NS)</v>
      </c>
      <c r="R78" s="13" t="str">
        <v>175 (Ministore NS)</v>
      </c>
      <c r="S78" s="13" t="str">
        <v>176 (Zoom odloty)</v>
      </c>
      <c r="T78" s="13" t="str">
        <v>177 (Spirit of Poland)</v>
      </c>
      <c r="U78" s="13" t="str">
        <v>178 (Multistore)</v>
      </c>
      <c r="V78" s="13" t="str">
        <v>179 (ZOOM)</v>
      </c>
      <c r="W78" s="13" t="str">
        <v>180 (Starter odloty)</v>
      </c>
      <c r="X78" s="13" t="str">
        <v>181 (Bestseller)</v>
      </c>
      <c r="Y78" s="13" t="str">
        <v>182 (Zoom palarnia)</v>
      </c>
      <c r="Z78" s="13" t="str">
        <v>183 (LMDL)</v>
      </c>
      <c r="AA78" s="13" t="str">
        <v>187 (Zoom NS)</v>
      </c>
      <c r="AB78" s="13" t="str">
        <v>208 (PIZZA)</v>
      </c>
      <c r="AC78" s="13" t="str">
        <v>532 (Magazyn)</v>
      </c>
      <c r="AD78" s="13" t="str">
        <v>Wszystkie lokale</v>
      </c>
      <c r="AJ78" s="13" t="str" cm="1">
        <f t="array" ref="AJ78:AX78">IF($C78="","",IFERROR(TRANSPOSE(_xlfn._xlws.FILTER(Listy!$D$2:$D$60,Listy!$C$2:$C$60=$C78)),""))</f>
        <v>Klamki na kod</v>
      </c>
      <c r="AK78" s="13" t="str">
        <v>Oświetlenie</v>
      </c>
      <c r="AL78" s="13" t="str">
        <v>Drzwi przeciwpożarowe</v>
      </c>
      <c r="AM78" s="13" t="str">
        <v>Drzwi na zaplecze</v>
      </c>
      <c r="AN78" s="13" t="str">
        <v>Systemy multmedialne</v>
      </c>
      <c r="AO78" s="13" t="str">
        <v>Posadzki, wykładziny</v>
      </c>
      <c r="AP78" s="13" t="str">
        <v>Kontrola kurzu</v>
      </c>
      <c r="AQ78" s="13" t="str">
        <v>Light boxy</v>
      </c>
      <c r="AR78" s="13" t="str">
        <v>Floorboxy</v>
      </c>
      <c r="AS78" s="13" t="str">
        <v>Meble</v>
      </c>
      <c r="AT78" s="13" t="str">
        <v>Szyby</v>
      </c>
      <c r="AU78" s="13" t="str">
        <v>Lampy owadobójcze</v>
      </c>
      <c r="AV78" s="13" t="str">
        <v>Samochody</v>
      </c>
      <c r="AW78" s="13" t="str">
        <v>Windy w samochodach</v>
      </c>
      <c r="AX78" s="13" t="str">
        <v>Sprawdzenie pompy odpływowej</v>
      </c>
    </row>
    <row r="79" spans="1:59" ht="25" customHeight="1" x14ac:dyDescent="0.35">
      <c r="A79" s="12" t="s">
        <v>8</v>
      </c>
      <c r="B79" s="12" t="s">
        <v>44</v>
      </c>
      <c r="C79" s="12" t="s">
        <v>93</v>
      </c>
      <c r="D79" s="12" t="s">
        <v>75</v>
      </c>
      <c r="F79" s="1"/>
      <c r="G79" s="4" t="str">
        <f t="shared" si="4"/>
        <v/>
      </c>
      <c r="H79" s="12" t="str">
        <f t="shared" ca="1" si="11"/>
        <v/>
      </c>
      <c r="I79" s="14"/>
      <c r="J79" s="1" t="str">
        <f t="shared" si="12"/>
        <v>BRAK PROTOKOŁU</v>
      </c>
      <c r="K79" s="1"/>
      <c r="M79" s="13" t="str" cm="1">
        <f t="array" ref="M79:AD79">IF($A79="","",IFERROR(TRANSPOSE(_xlfn._xlws.FILTER(Lokale!$C$3:$C$91,Lokale!$B$3:$B$91=$A79)),""))</f>
        <v>170 (Glamour)</v>
      </c>
      <c r="N79" s="13" t="str">
        <v>171 (Starter Dworzec)</v>
      </c>
      <c r="O79" s="13" t="str">
        <v>172 (Starter Przyloty)</v>
      </c>
      <c r="P79" s="13" t="str">
        <v>173 (LMDL2)</v>
      </c>
      <c r="Q79" s="13" t="str">
        <v>174 (Zoom NS)</v>
      </c>
      <c r="R79" s="13" t="str">
        <v>175 (Ministore NS)</v>
      </c>
      <c r="S79" s="13" t="str">
        <v>176 (Zoom odloty)</v>
      </c>
      <c r="T79" s="13" t="str">
        <v>177 (Spirit of Poland)</v>
      </c>
      <c r="U79" s="13" t="str">
        <v>178 (Multistore)</v>
      </c>
      <c r="V79" s="13" t="str">
        <v>179 (ZOOM)</v>
      </c>
      <c r="W79" s="13" t="str">
        <v>180 (Starter odloty)</v>
      </c>
      <c r="X79" s="13" t="str">
        <v>181 (Bestseller)</v>
      </c>
      <c r="Y79" s="13" t="str">
        <v>182 (Zoom palarnia)</v>
      </c>
      <c r="Z79" s="13" t="str">
        <v>183 (LMDL)</v>
      </c>
      <c r="AA79" s="13" t="str">
        <v>187 (Zoom NS)</v>
      </c>
      <c r="AB79" s="13" t="str">
        <v>208 (PIZZA)</v>
      </c>
      <c r="AC79" s="13" t="str">
        <v>532 (Magazyn)</v>
      </c>
      <c r="AD79" s="13" t="str">
        <v>Wszystkie lokale</v>
      </c>
      <c r="AJ79" s="13" t="str" cm="1">
        <f t="array" ref="AJ79:BG79">IF($C79="","",IFERROR(TRANSPOSE(_xlfn._xlws.FILTER(Listy!$D$2:$D$60,Listy!$C$2:$C$60=$C79)),""))</f>
        <v>Elektryczny (roczny)</v>
      </c>
      <c r="AK79" s="13" t="str">
        <v>Elektryczny (5-cio letni)</v>
      </c>
      <c r="AL79" s="13" t="str">
        <v>Systemy PPOŻ</v>
      </c>
      <c r="AM79" s="13" t="str">
        <v>Gaśnice</v>
      </c>
      <c r="AN79" s="13" t="str">
        <v>Klimatyzacja</v>
      </c>
      <c r="AO79" s="13" t="str">
        <v>Alarmy</v>
      </c>
      <c r="AP79" s="13" t="str">
        <v>Hydranty</v>
      </c>
      <c r="AQ79" s="13" t="str">
        <v xml:space="preserve">Rolety </v>
      </c>
      <c r="AR79" s="13" t="str">
        <v>Wentylacja</v>
      </c>
      <c r="AS79" s="13" t="str">
        <v>Wymiana filtrów</v>
      </c>
      <c r="AT79" s="13" t="str">
        <v>Regałów magazynowych</v>
      </c>
      <c r="AU79" s="13" t="str">
        <v>CRO</v>
      </c>
      <c r="AV79" s="13" t="str">
        <v>Mroźnia/Chłodnia</v>
      </c>
      <c r="AW79" s="13" t="str">
        <v>Regały chłodnicze</v>
      </c>
      <c r="AX79" s="13" t="str">
        <v>Separatory tłuszczu</v>
      </c>
      <c r="AY79" s="13" t="str">
        <v>Vendingi</v>
      </c>
      <c r="AZ79" s="13" t="str">
        <v>UDT (wózki widłowe, paleciaki)</v>
      </c>
      <c r="BA79" s="13" t="str">
        <v>BHP (drabiny, schodki, podesty)</v>
      </c>
      <c r="BB79" s="12" t="str">
        <v>Ansul</v>
      </c>
      <c r="BC79" s="12" t="str">
        <v>Okap</v>
      </c>
      <c r="BD79" s="12" t="str">
        <v>Brama garażowa</v>
      </c>
      <c r="BE79" s="12" t="str">
        <v>Żaluzje (gastro)</v>
      </c>
      <c r="BF79" s="12" t="str">
        <v>Bramki antykradzieżowe</v>
      </c>
      <c r="BG79" s="12" t="str">
        <v>Mycie jednostek klimatyzacji</v>
      </c>
    </row>
    <row r="80" spans="1:59" ht="25" customHeight="1" x14ac:dyDescent="0.35">
      <c r="A80" s="12" t="s">
        <v>8</v>
      </c>
      <c r="B80" s="12" t="s">
        <v>44</v>
      </c>
      <c r="C80" s="12" t="s">
        <v>93</v>
      </c>
      <c r="D80" s="12" t="s">
        <v>100</v>
      </c>
      <c r="F80" s="1"/>
      <c r="G80" s="4" t="str">
        <f t="shared" si="4"/>
        <v/>
      </c>
      <c r="H80" s="12" t="str">
        <f t="shared" ca="1" si="11"/>
        <v/>
      </c>
      <c r="I80" s="14"/>
      <c r="J80" s="1" t="str">
        <f t="shared" si="12"/>
        <v>BRAK PROTOKOŁU</v>
      </c>
      <c r="K80" s="1"/>
      <c r="M80" s="13" t="str" cm="1">
        <f t="array" ref="M80:AD80">IF($A80="","",IFERROR(TRANSPOSE(_xlfn._xlws.FILTER(Lokale!$C$3:$C$91,Lokale!$B$3:$B$91=$A80)),""))</f>
        <v>170 (Glamour)</v>
      </c>
      <c r="N80" s="13" t="str">
        <v>171 (Starter Dworzec)</v>
      </c>
      <c r="O80" s="13" t="str">
        <v>172 (Starter Przyloty)</v>
      </c>
      <c r="P80" s="13" t="str">
        <v>173 (LMDL2)</v>
      </c>
      <c r="Q80" s="13" t="str">
        <v>174 (Zoom NS)</v>
      </c>
      <c r="R80" s="13" t="str">
        <v>175 (Ministore NS)</v>
      </c>
      <c r="S80" s="13" t="str">
        <v>176 (Zoom odloty)</v>
      </c>
      <c r="T80" s="13" t="str">
        <v>177 (Spirit of Poland)</v>
      </c>
      <c r="U80" s="13" t="str">
        <v>178 (Multistore)</v>
      </c>
      <c r="V80" s="13" t="str">
        <v>179 (ZOOM)</v>
      </c>
      <c r="W80" s="13" t="str">
        <v>180 (Starter odloty)</v>
      </c>
      <c r="X80" s="13" t="str">
        <v>181 (Bestseller)</v>
      </c>
      <c r="Y80" s="13" t="str">
        <v>182 (Zoom palarnia)</v>
      </c>
      <c r="Z80" s="13" t="str">
        <v>183 (LMDL)</v>
      </c>
      <c r="AA80" s="13" t="str">
        <v>187 (Zoom NS)</v>
      </c>
      <c r="AB80" s="13" t="str">
        <v>208 (PIZZA)</v>
      </c>
      <c r="AC80" s="13" t="str">
        <v>532 (Magazyn)</v>
      </c>
      <c r="AD80" s="13" t="str">
        <v>Wszystkie lokale</v>
      </c>
      <c r="AJ80" s="13" t="str" cm="1">
        <f t="array" ref="AJ80:BG80">IF($C80="","",IFERROR(TRANSPOSE(_xlfn._xlws.FILTER(Listy!$D$2:$D$60,Listy!$C$2:$C$60=$C80)),""))</f>
        <v>Elektryczny (roczny)</v>
      </c>
      <c r="AK80" s="13" t="str">
        <v>Elektryczny (5-cio letni)</v>
      </c>
      <c r="AL80" s="13" t="str">
        <v>Systemy PPOŻ</v>
      </c>
      <c r="AM80" s="13" t="str">
        <v>Gaśnice</v>
      </c>
      <c r="AN80" s="13" t="str">
        <v>Klimatyzacja</v>
      </c>
      <c r="AO80" s="13" t="str">
        <v>Alarmy</v>
      </c>
      <c r="AP80" s="13" t="str">
        <v>Hydranty</v>
      </c>
      <c r="AQ80" s="13" t="str">
        <v xml:space="preserve">Rolety </v>
      </c>
      <c r="AR80" s="13" t="str">
        <v>Wentylacja</v>
      </c>
      <c r="AS80" s="13" t="str">
        <v>Wymiana filtrów</v>
      </c>
      <c r="AT80" s="13" t="str">
        <v>Regałów magazynowych</v>
      </c>
      <c r="AU80" s="13" t="str">
        <v>CRO</v>
      </c>
      <c r="AV80" s="13" t="str">
        <v>Mroźnia/Chłodnia</v>
      </c>
      <c r="AW80" s="13" t="str">
        <v>Regały chłodnicze</v>
      </c>
      <c r="AX80" s="13" t="str">
        <v>Separatory tłuszczu</v>
      </c>
      <c r="AY80" s="13" t="str">
        <v>Vendingi</v>
      </c>
      <c r="AZ80" s="13" t="str">
        <v>UDT (wózki widłowe, paleciaki)</v>
      </c>
      <c r="BA80" s="13" t="str">
        <v>BHP (drabiny, schodki, podesty)</v>
      </c>
      <c r="BB80" s="12" t="str">
        <v>Ansul</v>
      </c>
      <c r="BC80" s="12" t="str">
        <v>Okap</v>
      </c>
      <c r="BD80" s="12" t="str">
        <v>Brama garażowa</v>
      </c>
      <c r="BE80" s="12" t="str">
        <v>Żaluzje (gastro)</v>
      </c>
      <c r="BF80" s="12" t="str">
        <v>Bramki antykradzieżowe</v>
      </c>
      <c r="BG80" s="12" t="str">
        <v>Mycie jednostek klimatyzacji</v>
      </c>
    </row>
    <row r="81" spans="1:59" ht="25" customHeight="1" x14ac:dyDescent="0.35">
      <c r="A81" s="12" t="s">
        <v>8</v>
      </c>
      <c r="B81" s="12" t="s">
        <v>44</v>
      </c>
      <c r="C81" s="12" t="s">
        <v>93</v>
      </c>
      <c r="D81" s="12" t="s">
        <v>73</v>
      </c>
      <c r="F81" s="1"/>
      <c r="G81" s="4" t="str">
        <f t="shared" si="4"/>
        <v/>
      </c>
      <c r="H81" s="12" t="str">
        <f t="shared" ca="1" si="11"/>
        <v/>
      </c>
      <c r="I81" s="14"/>
      <c r="J81" s="1" t="str">
        <f t="shared" si="12"/>
        <v>BRAK PROTOKOŁU</v>
      </c>
      <c r="K81" s="1"/>
      <c r="M81" s="13" t="str" cm="1">
        <f t="array" ref="M81:AD81">IF($A81="","",IFERROR(TRANSPOSE(_xlfn._xlws.FILTER(Lokale!$C$3:$C$91,Lokale!$B$3:$B$91=$A81)),""))</f>
        <v>170 (Glamour)</v>
      </c>
      <c r="N81" s="13" t="str">
        <v>171 (Starter Dworzec)</v>
      </c>
      <c r="O81" s="13" t="str">
        <v>172 (Starter Przyloty)</v>
      </c>
      <c r="P81" s="13" t="str">
        <v>173 (LMDL2)</v>
      </c>
      <c r="Q81" s="13" t="str">
        <v>174 (Zoom NS)</v>
      </c>
      <c r="R81" s="13" t="str">
        <v>175 (Ministore NS)</v>
      </c>
      <c r="S81" s="13" t="str">
        <v>176 (Zoom odloty)</v>
      </c>
      <c r="T81" s="13" t="str">
        <v>177 (Spirit of Poland)</v>
      </c>
      <c r="U81" s="13" t="str">
        <v>178 (Multistore)</v>
      </c>
      <c r="V81" s="13" t="str">
        <v>179 (ZOOM)</v>
      </c>
      <c r="W81" s="13" t="str">
        <v>180 (Starter odloty)</v>
      </c>
      <c r="X81" s="13" t="str">
        <v>181 (Bestseller)</v>
      </c>
      <c r="Y81" s="13" t="str">
        <v>182 (Zoom palarnia)</v>
      </c>
      <c r="Z81" s="13" t="str">
        <v>183 (LMDL)</v>
      </c>
      <c r="AA81" s="13" t="str">
        <v>187 (Zoom NS)</v>
      </c>
      <c r="AB81" s="13" t="str">
        <v>208 (PIZZA)</v>
      </c>
      <c r="AC81" s="13" t="str">
        <v>532 (Magazyn)</v>
      </c>
      <c r="AD81" s="13" t="str">
        <v>Wszystkie lokale</v>
      </c>
      <c r="AJ81" s="13" t="str" cm="1">
        <f t="array" ref="AJ81:BG81">IF($C81="","",IFERROR(TRANSPOSE(_xlfn._xlws.FILTER(Listy!$D$2:$D$60,Listy!$C$2:$C$60=$C81)),""))</f>
        <v>Elektryczny (roczny)</v>
      </c>
      <c r="AK81" s="13" t="str">
        <v>Elektryczny (5-cio letni)</v>
      </c>
      <c r="AL81" s="13" t="str">
        <v>Systemy PPOŻ</v>
      </c>
      <c r="AM81" s="13" t="str">
        <v>Gaśnice</v>
      </c>
      <c r="AN81" s="13" t="str">
        <v>Klimatyzacja</v>
      </c>
      <c r="AO81" s="13" t="str">
        <v>Alarmy</v>
      </c>
      <c r="AP81" s="13" t="str">
        <v>Hydranty</v>
      </c>
      <c r="AQ81" s="13" t="str">
        <v xml:space="preserve">Rolety </v>
      </c>
      <c r="AR81" s="13" t="str">
        <v>Wentylacja</v>
      </c>
      <c r="AS81" s="13" t="str">
        <v>Wymiana filtrów</v>
      </c>
      <c r="AT81" s="13" t="str">
        <v>Regałów magazynowych</v>
      </c>
      <c r="AU81" s="13" t="str">
        <v>CRO</v>
      </c>
      <c r="AV81" s="13" t="str">
        <v>Mroźnia/Chłodnia</v>
      </c>
      <c r="AW81" s="13" t="str">
        <v>Regały chłodnicze</v>
      </c>
      <c r="AX81" s="13" t="str">
        <v>Separatory tłuszczu</v>
      </c>
      <c r="AY81" s="13" t="str">
        <v>Vendingi</v>
      </c>
      <c r="AZ81" s="13" t="str">
        <v>UDT (wózki widłowe, paleciaki)</v>
      </c>
      <c r="BA81" s="13" t="str">
        <v>BHP (drabiny, schodki, podesty)</v>
      </c>
      <c r="BB81" s="12" t="str">
        <v>Ansul</v>
      </c>
      <c r="BC81" s="12" t="str">
        <v>Okap</v>
      </c>
      <c r="BD81" s="12" t="str">
        <v>Brama garażowa</v>
      </c>
      <c r="BE81" s="12" t="str">
        <v>Żaluzje (gastro)</v>
      </c>
      <c r="BF81" s="12" t="str">
        <v>Bramki antykradzieżowe</v>
      </c>
      <c r="BG81" s="12" t="str">
        <v>Mycie jednostek klimatyzacji</v>
      </c>
    </row>
    <row r="82" spans="1:59" ht="25" customHeight="1" x14ac:dyDescent="0.35">
      <c r="F82" s="1"/>
      <c r="G82" s="4" t="str">
        <f t="shared" si="4"/>
        <v/>
      </c>
      <c r="H82" s="12" t="str">
        <f t="shared" ca="1" si="11"/>
        <v/>
      </c>
      <c r="I82" s="14"/>
      <c r="J82" s="1" t="str">
        <f t="shared" si="12"/>
        <v/>
      </c>
      <c r="K82" s="1"/>
      <c r="M82" s="13" t="str" cm="1">
        <f t="array" ref="M82">IF($A82="","",IFERROR(TRANSPOSE(_xlfn._xlws.FILTER(Lokale!$C$3:$C$91,Lokale!$B$3:$B$91=$A82)),""))</f>
        <v/>
      </c>
      <c r="AJ82" s="13" t="str" cm="1">
        <f t="array" ref="AJ82">IF($C82="","",IFERROR(TRANSPOSE(_xlfn._xlws.FILTER(Listy!$D$2:$D$60,Listy!$C$2:$C$60=$C82)),""))</f>
        <v/>
      </c>
    </row>
    <row r="83" spans="1:59" ht="25" customHeight="1" x14ac:dyDescent="0.35">
      <c r="A83" s="12" t="s">
        <v>8</v>
      </c>
      <c r="B83" s="12" t="s">
        <v>45</v>
      </c>
      <c r="C83" s="12" t="s">
        <v>93</v>
      </c>
      <c r="D83" s="12" t="s">
        <v>85</v>
      </c>
      <c r="F83" s="1"/>
      <c r="G83" s="4" t="str">
        <f t="shared" si="4"/>
        <v/>
      </c>
      <c r="H83" s="12" t="str">
        <f t="shared" ca="1" si="11"/>
        <v/>
      </c>
      <c r="I83" s="14"/>
      <c r="J83" s="1" t="str">
        <f t="shared" si="12"/>
        <v>BRAK PROTOKOŁU</v>
      </c>
      <c r="K83" s="1"/>
      <c r="M83" s="13" t="str" cm="1">
        <f t="array" ref="M83:AD83">IF($A83="","",IFERROR(TRANSPOSE(_xlfn._xlws.FILTER(Lokale!$C$3:$C$91,Lokale!$B$3:$B$91=$A83)),""))</f>
        <v>170 (Glamour)</v>
      </c>
      <c r="N83" s="13" t="str">
        <v>171 (Starter Dworzec)</v>
      </c>
      <c r="O83" s="13" t="str">
        <v>172 (Starter Przyloty)</v>
      </c>
      <c r="P83" s="13" t="str">
        <v>173 (LMDL2)</v>
      </c>
      <c r="Q83" s="13" t="str">
        <v>174 (Zoom NS)</v>
      </c>
      <c r="R83" s="13" t="str">
        <v>175 (Ministore NS)</v>
      </c>
      <c r="S83" s="13" t="str">
        <v>176 (Zoom odloty)</v>
      </c>
      <c r="T83" s="13" t="str">
        <v>177 (Spirit of Poland)</v>
      </c>
      <c r="U83" s="13" t="str">
        <v>178 (Multistore)</v>
      </c>
      <c r="V83" s="13" t="str">
        <v>179 (ZOOM)</v>
      </c>
      <c r="W83" s="13" t="str">
        <v>180 (Starter odloty)</v>
      </c>
      <c r="X83" s="13" t="str">
        <v>181 (Bestseller)</v>
      </c>
      <c r="Y83" s="13" t="str">
        <v>182 (Zoom palarnia)</v>
      </c>
      <c r="Z83" s="13" t="str">
        <v>183 (LMDL)</v>
      </c>
      <c r="AA83" s="13" t="str">
        <v>187 (Zoom NS)</v>
      </c>
      <c r="AB83" s="13" t="str">
        <v>208 (PIZZA)</v>
      </c>
      <c r="AC83" s="13" t="str">
        <v>532 (Magazyn)</v>
      </c>
      <c r="AD83" s="13" t="str">
        <v>Wszystkie lokale</v>
      </c>
      <c r="AJ83" s="13" t="str" cm="1">
        <f t="array" ref="AJ83:BG83">IF($C83="","",IFERROR(TRANSPOSE(_xlfn._xlws.FILTER(Listy!$D$2:$D$60,Listy!$C$2:$C$60=$C83)),""))</f>
        <v>Elektryczny (roczny)</v>
      </c>
      <c r="AK83" s="13" t="str">
        <v>Elektryczny (5-cio letni)</v>
      </c>
      <c r="AL83" s="13" t="str">
        <v>Systemy PPOŻ</v>
      </c>
      <c r="AM83" s="13" t="str">
        <v>Gaśnice</v>
      </c>
      <c r="AN83" s="13" t="str">
        <v>Klimatyzacja</v>
      </c>
      <c r="AO83" s="13" t="str">
        <v>Alarmy</v>
      </c>
      <c r="AP83" s="13" t="str">
        <v>Hydranty</v>
      </c>
      <c r="AQ83" s="13" t="str">
        <v xml:space="preserve">Rolety </v>
      </c>
      <c r="AR83" s="13" t="str">
        <v>Wentylacja</v>
      </c>
      <c r="AS83" s="13" t="str">
        <v>Wymiana filtrów</v>
      </c>
      <c r="AT83" s="13" t="str">
        <v>Regałów magazynowych</v>
      </c>
      <c r="AU83" s="13" t="str">
        <v>CRO</v>
      </c>
      <c r="AV83" s="13" t="str">
        <v>Mroźnia/Chłodnia</v>
      </c>
      <c r="AW83" s="13" t="str">
        <v>Regały chłodnicze</v>
      </c>
      <c r="AX83" s="13" t="str">
        <v>Separatory tłuszczu</v>
      </c>
      <c r="AY83" s="13" t="str">
        <v>Vendingi</v>
      </c>
      <c r="AZ83" s="13" t="str">
        <v>UDT (wózki widłowe, paleciaki)</v>
      </c>
      <c r="BA83" s="13" t="str">
        <v>BHP (drabiny, schodki, podesty)</v>
      </c>
      <c r="BB83" s="12" t="str">
        <v>Ansul</v>
      </c>
      <c r="BC83" s="12" t="str">
        <v>Okap</v>
      </c>
      <c r="BD83" s="12" t="str">
        <v>Brama garażowa</v>
      </c>
      <c r="BE83" s="12" t="str">
        <v>Żaluzje (gastro)</v>
      </c>
      <c r="BF83" s="12" t="str">
        <v>Bramki antykradzieżowe</v>
      </c>
      <c r="BG83" s="12" t="str">
        <v>Mycie jednostek klimatyzacji</v>
      </c>
    </row>
    <row r="84" spans="1:59" ht="25" customHeight="1" x14ac:dyDescent="0.35">
      <c r="A84" s="12" t="s">
        <v>8</v>
      </c>
      <c r="B84" s="12" t="s">
        <v>45</v>
      </c>
      <c r="C84" s="12" t="s">
        <v>93</v>
      </c>
      <c r="D84" s="12" t="s">
        <v>86</v>
      </c>
      <c r="F84" s="1"/>
      <c r="G84" s="4" t="str">
        <f t="shared" si="4"/>
        <v/>
      </c>
      <c r="H84" s="12" t="str">
        <f t="shared" ca="1" si="11"/>
        <v/>
      </c>
      <c r="I84" s="14"/>
      <c r="J84" s="1" t="str">
        <f t="shared" si="12"/>
        <v>BRAK PROTOKOŁU</v>
      </c>
      <c r="K84" s="1"/>
      <c r="M84" s="13" t="str" cm="1">
        <f t="array" ref="M84:AD84">IF($A84="","",IFERROR(TRANSPOSE(_xlfn._xlws.FILTER(Lokale!$C$3:$C$91,Lokale!$B$3:$B$91=$A84)),""))</f>
        <v>170 (Glamour)</v>
      </c>
      <c r="N84" s="13" t="str">
        <v>171 (Starter Dworzec)</v>
      </c>
      <c r="O84" s="13" t="str">
        <v>172 (Starter Przyloty)</v>
      </c>
      <c r="P84" s="13" t="str">
        <v>173 (LMDL2)</v>
      </c>
      <c r="Q84" s="13" t="str">
        <v>174 (Zoom NS)</v>
      </c>
      <c r="R84" s="13" t="str">
        <v>175 (Ministore NS)</v>
      </c>
      <c r="S84" s="13" t="str">
        <v>176 (Zoom odloty)</v>
      </c>
      <c r="T84" s="13" t="str">
        <v>177 (Spirit of Poland)</v>
      </c>
      <c r="U84" s="13" t="str">
        <v>178 (Multistore)</v>
      </c>
      <c r="V84" s="13" t="str">
        <v>179 (ZOOM)</v>
      </c>
      <c r="W84" s="13" t="str">
        <v>180 (Starter odloty)</v>
      </c>
      <c r="X84" s="13" t="str">
        <v>181 (Bestseller)</v>
      </c>
      <c r="Y84" s="13" t="str">
        <v>182 (Zoom palarnia)</v>
      </c>
      <c r="Z84" s="13" t="str">
        <v>183 (LMDL)</v>
      </c>
      <c r="AA84" s="13" t="str">
        <v>187 (Zoom NS)</v>
      </c>
      <c r="AB84" s="13" t="str">
        <v>208 (PIZZA)</v>
      </c>
      <c r="AC84" s="13" t="str">
        <v>532 (Magazyn)</v>
      </c>
      <c r="AD84" s="13" t="str">
        <v>Wszystkie lokale</v>
      </c>
      <c r="AJ84" s="13" t="str" cm="1">
        <f t="array" ref="AJ84:BG84">IF($C84="","",IFERROR(TRANSPOSE(_xlfn._xlws.FILTER(Listy!$D$2:$D$60,Listy!$C$2:$C$60=$C84)),""))</f>
        <v>Elektryczny (roczny)</v>
      </c>
      <c r="AK84" s="13" t="str">
        <v>Elektryczny (5-cio letni)</v>
      </c>
      <c r="AL84" s="13" t="str">
        <v>Systemy PPOŻ</v>
      </c>
      <c r="AM84" s="13" t="str">
        <v>Gaśnice</v>
      </c>
      <c r="AN84" s="13" t="str">
        <v>Klimatyzacja</v>
      </c>
      <c r="AO84" s="13" t="str">
        <v>Alarmy</v>
      </c>
      <c r="AP84" s="13" t="str">
        <v>Hydranty</v>
      </c>
      <c r="AQ84" s="13" t="str">
        <v xml:space="preserve">Rolety </v>
      </c>
      <c r="AR84" s="13" t="str">
        <v>Wentylacja</v>
      </c>
      <c r="AS84" s="13" t="str">
        <v>Wymiana filtrów</v>
      </c>
      <c r="AT84" s="13" t="str">
        <v>Regałów magazynowych</v>
      </c>
      <c r="AU84" s="13" t="str">
        <v>CRO</v>
      </c>
      <c r="AV84" s="13" t="str">
        <v>Mroźnia/Chłodnia</v>
      </c>
      <c r="AW84" s="13" t="str">
        <v>Regały chłodnicze</v>
      </c>
      <c r="AX84" s="13" t="str">
        <v>Separatory tłuszczu</v>
      </c>
      <c r="AY84" s="13" t="str">
        <v>Vendingi</v>
      </c>
      <c r="AZ84" s="13" t="str">
        <v>UDT (wózki widłowe, paleciaki)</v>
      </c>
      <c r="BA84" s="13" t="str">
        <v>BHP (drabiny, schodki, podesty)</v>
      </c>
      <c r="BB84" s="12" t="str">
        <v>Ansul</v>
      </c>
      <c r="BC84" s="12" t="str">
        <v>Okap</v>
      </c>
      <c r="BD84" s="12" t="str">
        <v>Brama garażowa</v>
      </c>
      <c r="BE84" s="12" t="str">
        <v>Żaluzje (gastro)</v>
      </c>
      <c r="BF84" s="12" t="str">
        <v>Bramki antykradzieżowe</v>
      </c>
      <c r="BG84" s="12" t="str">
        <v>Mycie jednostek klimatyzacji</v>
      </c>
    </row>
    <row r="85" spans="1:59" ht="25" customHeight="1" x14ac:dyDescent="0.35">
      <c r="A85" s="12" t="s">
        <v>8</v>
      </c>
      <c r="B85" s="12" t="s">
        <v>45</v>
      </c>
      <c r="C85" s="12" t="s">
        <v>93</v>
      </c>
      <c r="D85" s="12" t="s">
        <v>99</v>
      </c>
      <c r="F85" s="1"/>
      <c r="G85" s="4" t="str">
        <f t="shared" si="4"/>
        <v/>
      </c>
      <c r="H85" s="12" t="str">
        <f t="shared" ca="1" si="11"/>
        <v/>
      </c>
      <c r="I85" s="14"/>
      <c r="J85" s="1" t="str">
        <f t="shared" si="12"/>
        <v>BRAK PROTOKOŁU</v>
      </c>
      <c r="K85" s="1"/>
      <c r="M85" s="13" t="str" cm="1">
        <f t="array" ref="M85:AD85">IF($A85="","",IFERROR(TRANSPOSE(_xlfn._xlws.FILTER(Lokale!$C$3:$C$91,Lokale!$B$3:$B$91=$A85)),""))</f>
        <v>170 (Glamour)</v>
      </c>
      <c r="N85" s="13" t="str">
        <v>171 (Starter Dworzec)</v>
      </c>
      <c r="O85" s="13" t="str">
        <v>172 (Starter Przyloty)</v>
      </c>
      <c r="P85" s="13" t="str">
        <v>173 (LMDL2)</v>
      </c>
      <c r="Q85" s="13" t="str">
        <v>174 (Zoom NS)</v>
      </c>
      <c r="R85" s="13" t="str">
        <v>175 (Ministore NS)</v>
      </c>
      <c r="S85" s="13" t="str">
        <v>176 (Zoom odloty)</v>
      </c>
      <c r="T85" s="13" t="str">
        <v>177 (Spirit of Poland)</v>
      </c>
      <c r="U85" s="13" t="str">
        <v>178 (Multistore)</v>
      </c>
      <c r="V85" s="13" t="str">
        <v>179 (ZOOM)</v>
      </c>
      <c r="W85" s="13" t="str">
        <v>180 (Starter odloty)</v>
      </c>
      <c r="X85" s="13" t="str">
        <v>181 (Bestseller)</v>
      </c>
      <c r="Y85" s="13" t="str">
        <v>182 (Zoom palarnia)</v>
      </c>
      <c r="Z85" s="13" t="str">
        <v>183 (LMDL)</v>
      </c>
      <c r="AA85" s="13" t="str">
        <v>187 (Zoom NS)</v>
      </c>
      <c r="AB85" s="13" t="str">
        <v>208 (PIZZA)</v>
      </c>
      <c r="AC85" s="13" t="str">
        <v>532 (Magazyn)</v>
      </c>
      <c r="AD85" s="13" t="str">
        <v>Wszystkie lokale</v>
      </c>
      <c r="AJ85" s="13" t="str" cm="1">
        <f t="array" ref="AJ85:BG85">IF($C85="","",IFERROR(TRANSPOSE(_xlfn._xlws.FILTER(Listy!$D$2:$D$60,Listy!$C$2:$C$60=$C85)),""))</f>
        <v>Elektryczny (roczny)</v>
      </c>
      <c r="AK85" s="13" t="str">
        <v>Elektryczny (5-cio letni)</v>
      </c>
      <c r="AL85" s="13" t="str">
        <v>Systemy PPOŻ</v>
      </c>
      <c r="AM85" s="13" t="str">
        <v>Gaśnice</v>
      </c>
      <c r="AN85" s="13" t="str">
        <v>Klimatyzacja</v>
      </c>
      <c r="AO85" s="13" t="str">
        <v>Alarmy</v>
      </c>
      <c r="AP85" s="13" t="str">
        <v>Hydranty</v>
      </c>
      <c r="AQ85" s="13" t="str">
        <v xml:space="preserve">Rolety </v>
      </c>
      <c r="AR85" s="13" t="str">
        <v>Wentylacja</v>
      </c>
      <c r="AS85" s="13" t="str">
        <v>Wymiana filtrów</v>
      </c>
      <c r="AT85" s="13" t="str">
        <v>Regałów magazynowych</v>
      </c>
      <c r="AU85" s="13" t="str">
        <v>CRO</v>
      </c>
      <c r="AV85" s="13" t="str">
        <v>Mroźnia/Chłodnia</v>
      </c>
      <c r="AW85" s="13" t="str">
        <v>Regały chłodnicze</v>
      </c>
      <c r="AX85" s="13" t="str">
        <v>Separatory tłuszczu</v>
      </c>
      <c r="AY85" s="13" t="str">
        <v>Vendingi</v>
      </c>
      <c r="AZ85" s="13" t="str">
        <v>UDT (wózki widłowe, paleciaki)</v>
      </c>
      <c r="BA85" s="13" t="str">
        <v>BHP (drabiny, schodki, podesty)</v>
      </c>
      <c r="BB85" s="12" t="str">
        <v>Ansul</v>
      </c>
      <c r="BC85" s="12" t="str">
        <v>Okap</v>
      </c>
      <c r="BD85" s="12" t="str">
        <v>Brama garażowa</v>
      </c>
      <c r="BE85" s="12" t="str">
        <v>Żaluzje (gastro)</v>
      </c>
      <c r="BF85" s="12" t="str">
        <v>Bramki antykradzieżowe</v>
      </c>
      <c r="BG85" s="12" t="str">
        <v>Mycie jednostek klimatyzacji</v>
      </c>
    </row>
    <row r="86" spans="1:59" ht="25" customHeight="1" x14ac:dyDescent="0.35">
      <c r="A86" s="12" t="s">
        <v>8</v>
      </c>
      <c r="B86" s="12" t="s">
        <v>45</v>
      </c>
      <c r="C86" s="12" t="s">
        <v>93</v>
      </c>
      <c r="D86" s="12" t="s">
        <v>22</v>
      </c>
      <c r="E86" s="15">
        <v>46176</v>
      </c>
      <c r="F86" s="1">
        <v>3</v>
      </c>
      <c r="G86" s="4">
        <f t="shared" si="4"/>
        <v>46268</v>
      </c>
      <c r="H86" s="12" t="str">
        <f t="shared" ca="1" si="11"/>
        <v>OK</v>
      </c>
      <c r="I86" s="14"/>
      <c r="J86" s="1" t="str">
        <f t="shared" si="12"/>
        <v>BRAK PROTOKOŁU</v>
      </c>
      <c r="K86" s="1"/>
      <c r="M86" s="13" t="str" cm="1">
        <f t="array" ref="M86:AD86">IF($A86="","",IFERROR(TRANSPOSE(_xlfn._xlws.FILTER(Lokale!$C$3:$C$91,Lokale!$B$3:$B$91=$A86)),""))</f>
        <v>170 (Glamour)</v>
      </c>
      <c r="N86" s="13" t="str">
        <v>171 (Starter Dworzec)</v>
      </c>
      <c r="O86" s="13" t="str">
        <v>172 (Starter Przyloty)</v>
      </c>
      <c r="P86" s="13" t="str">
        <v>173 (LMDL2)</v>
      </c>
      <c r="Q86" s="13" t="str">
        <v>174 (Zoom NS)</v>
      </c>
      <c r="R86" s="13" t="str">
        <v>175 (Ministore NS)</v>
      </c>
      <c r="S86" s="13" t="str">
        <v>176 (Zoom odloty)</v>
      </c>
      <c r="T86" s="13" t="str">
        <v>177 (Spirit of Poland)</v>
      </c>
      <c r="U86" s="13" t="str">
        <v>178 (Multistore)</v>
      </c>
      <c r="V86" s="13" t="str">
        <v>179 (ZOOM)</v>
      </c>
      <c r="W86" s="13" t="str">
        <v>180 (Starter odloty)</v>
      </c>
      <c r="X86" s="13" t="str">
        <v>181 (Bestseller)</v>
      </c>
      <c r="Y86" s="13" t="str">
        <v>182 (Zoom palarnia)</v>
      </c>
      <c r="Z86" s="13" t="str">
        <v>183 (LMDL)</v>
      </c>
      <c r="AA86" s="13" t="str">
        <v>187 (Zoom NS)</v>
      </c>
      <c r="AB86" s="13" t="str">
        <v>208 (PIZZA)</v>
      </c>
      <c r="AC86" s="13" t="str">
        <v>532 (Magazyn)</v>
      </c>
      <c r="AD86" s="13" t="str">
        <v>Wszystkie lokale</v>
      </c>
      <c r="AJ86" s="13" t="str" cm="1">
        <f t="array" ref="AJ86:BG86">IF($C86="","",IFERROR(TRANSPOSE(_xlfn._xlws.FILTER(Listy!$D$2:$D$60,Listy!$C$2:$C$60=$C86)),""))</f>
        <v>Elektryczny (roczny)</v>
      </c>
      <c r="AK86" s="13" t="str">
        <v>Elektryczny (5-cio letni)</v>
      </c>
      <c r="AL86" s="13" t="str">
        <v>Systemy PPOŻ</v>
      </c>
      <c r="AM86" s="13" t="str">
        <v>Gaśnice</v>
      </c>
      <c r="AN86" s="13" t="str">
        <v>Klimatyzacja</v>
      </c>
      <c r="AO86" s="13" t="str">
        <v>Alarmy</v>
      </c>
      <c r="AP86" s="13" t="str">
        <v>Hydranty</v>
      </c>
      <c r="AQ86" s="13" t="str">
        <v xml:space="preserve">Rolety </v>
      </c>
      <c r="AR86" s="13" t="str">
        <v>Wentylacja</v>
      </c>
      <c r="AS86" s="13" t="str">
        <v>Wymiana filtrów</v>
      </c>
      <c r="AT86" s="13" t="str">
        <v>Regałów magazynowych</v>
      </c>
      <c r="AU86" s="13" t="str">
        <v>CRO</v>
      </c>
      <c r="AV86" s="13" t="str">
        <v>Mroźnia/Chłodnia</v>
      </c>
      <c r="AW86" s="13" t="str">
        <v>Regały chłodnicze</v>
      </c>
      <c r="AX86" s="13" t="str">
        <v>Separatory tłuszczu</v>
      </c>
      <c r="AY86" s="13" t="str">
        <v>Vendingi</v>
      </c>
      <c r="AZ86" s="13" t="str">
        <v>UDT (wózki widłowe, paleciaki)</v>
      </c>
      <c r="BA86" s="13" t="str">
        <v>BHP (drabiny, schodki, podesty)</v>
      </c>
      <c r="BB86" s="12" t="str">
        <v>Ansul</v>
      </c>
      <c r="BC86" s="12" t="str">
        <v>Okap</v>
      </c>
      <c r="BD86" s="12" t="str">
        <v>Brama garażowa</v>
      </c>
      <c r="BE86" s="12" t="str">
        <v>Żaluzje (gastro)</v>
      </c>
      <c r="BF86" s="12" t="str">
        <v>Bramki antykradzieżowe</v>
      </c>
      <c r="BG86" s="12" t="str">
        <v>Mycie jednostek klimatyzacji</v>
      </c>
    </row>
    <row r="87" spans="1:59" ht="25" customHeight="1" x14ac:dyDescent="0.35">
      <c r="A87" s="12" t="s">
        <v>8</v>
      </c>
      <c r="B87" s="12" t="s">
        <v>65</v>
      </c>
      <c r="C87" s="12" t="s">
        <v>93</v>
      </c>
      <c r="D87" s="12" t="s">
        <v>22</v>
      </c>
      <c r="E87" s="15"/>
      <c r="F87" s="1">
        <v>3</v>
      </c>
      <c r="G87" s="4" t="str">
        <f t="shared" ref="G87" si="13">IF(OR(E87="",F87=""),"",DATE(YEAR(E87),MONTH(E87)+F87,DAY(E87)))</f>
        <v/>
      </c>
      <c r="H87" s="12" t="str">
        <f t="shared" ca="1" si="11"/>
        <v/>
      </c>
      <c r="I87" s="14"/>
      <c r="J87" s="1" t="str">
        <f t="shared" si="12"/>
        <v>BRAK PROTOKOŁU</v>
      </c>
      <c r="K87" s="1"/>
      <c r="M87" s="13" t="str" cm="1">
        <f t="array" ref="M87:AD87">IF($A87="","",IFERROR(TRANSPOSE(_xlfn._xlws.FILTER(Lokale!$C$3:$C$91,Lokale!$B$3:$B$91=$A87)),""))</f>
        <v>170 (Glamour)</v>
      </c>
      <c r="N87" s="13" t="str">
        <v>171 (Starter Dworzec)</v>
      </c>
      <c r="O87" s="13" t="str">
        <v>172 (Starter Przyloty)</v>
      </c>
      <c r="P87" s="13" t="str">
        <v>173 (LMDL2)</v>
      </c>
      <c r="Q87" s="13" t="str">
        <v>174 (Zoom NS)</v>
      </c>
      <c r="R87" s="13" t="str">
        <v>175 (Ministore NS)</v>
      </c>
      <c r="S87" s="13" t="str">
        <v>176 (Zoom odloty)</v>
      </c>
      <c r="T87" s="13" t="str">
        <v>177 (Spirit of Poland)</v>
      </c>
      <c r="U87" s="13" t="str">
        <v>178 (Multistore)</v>
      </c>
      <c r="V87" s="13" t="str">
        <v>179 (ZOOM)</v>
      </c>
      <c r="W87" s="13" t="str">
        <v>180 (Starter odloty)</v>
      </c>
      <c r="X87" s="13" t="str">
        <v>181 (Bestseller)</v>
      </c>
      <c r="Y87" s="13" t="str">
        <v>182 (Zoom palarnia)</v>
      </c>
      <c r="Z87" s="13" t="str">
        <v>183 (LMDL)</v>
      </c>
      <c r="AA87" s="13" t="str">
        <v>187 (Zoom NS)</v>
      </c>
      <c r="AB87" s="13" t="str">
        <v>208 (PIZZA)</v>
      </c>
      <c r="AC87" s="13" t="str">
        <v>532 (Magazyn)</v>
      </c>
      <c r="AD87" s="13" t="str">
        <v>Wszystkie lokale</v>
      </c>
      <c r="AJ87" s="13" t="str" cm="1">
        <f t="array" ref="AJ87:BG87">IF($C87="","",IFERROR(TRANSPOSE(_xlfn._xlws.FILTER(Listy!$D$2:$D$60,Listy!$C$2:$C$60=$C87)),""))</f>
        <v>Elektryczny (roczny)</v>
      </c>
      <c r="AK87" s="13" t="str">
        <v>Elektryczny (5-cio letni)</v>
      </c>
      <c r="AL87" s="13" t="str">
        <v>Systemy PPOŻ</v>
      </c>
      <c r="AM87" s="13" t="str">
        <v>Gaśnice</v>
      </c>
      <c r="AN87" s="13" t="str">
        <v>Klimatyzacja</v>
      </c>
      <c r="AO87" s="13" t="str">
        <v>Alarmy</v>
      </c>
      <c r="AP87" s="13" t="str">
        <v>Hydranty</v>
      </c>
      <c r="AQ87" s="13" t="str">
        <v xml:space="preserve">Rolety </v>
      </c>
      <c r="AR87" s="13" t="str">
        <v>Wentylacja</v>
      </c>
      <c r="AS87" s="13" t="str">
        <v>Wymiana filtrów</v>
      </c>
      <c r="AT87" s="13" t="str">
        <v>Regałów magazynowych</v>
      </c>
      <c r="AU87" s="13" t="str">
        <v>CRO</v>
      </c>
      <c r="AV87" s="13" t="str">
        <v>Mroźnia/Chłodnia</v>
      </c>
      <c r="AW87" s="13" t="str">
        <v>Regały chłodnicze</v>
      </c>
      <c r="AX87" s="13" t="str">
        <v>Separatory tłuszczu</v>
      </c>
      <c r="AY87" s="13" t="str">
        <v>Vendingi</v>
      </c>
      <c r="AZ87" s="13" t="str">
        <v>UDT (wózki widłowe, paleciaki)</v>
      </c>
      <c r="BA87" s="13" t="str">
        <v>BHP (drabiny, schodki, podesty)</v>
      </c>
      <c r="BB87" s="12" t="str">
        <v>Ansul</v>
      </c>
      <c r="BC87" s="12" t="str">
        <v>Okap</v>
      </c>
      <c r="BD87" s="12" t="str">
        <v>Brama garażowa</v>
      </c>
      <c r="BE87" s="12" t="str">
        <v>Żaluzje (gastro)</v>
      </c>
      <c r="BF87" s="12" t="str">
        <v>Bramki antykradzieżowe</v>
      </c>
      <c r="BG87" s="12" t="str">
        <v>Mycie jednostek klimatyzacji</v>
      </c>
    </row>
    <row r="88" spans="1:59" ht="25" customHeight="1" x14ac:dyDescent="0.35">
      <c r="A88" s="12" t="s">
        <v>8</v>
      </c>
      <c r="B88" s="12" t="s">
        <v>66</v>
      </c>
      <c r="C88" s="12" t="s">
        <v>93</v>
      </c>
      <c r="D88" s="12" t="s">
        <v>22</v>
      </c>
      <c r="E88" s="15">
        <v>46191</v>
      </c>
      <c r="F88" s="1">
        <v>3</v>
      </c>
      <c r="G88" s="4">
        <f t="shared" ref="G88" si="14">IF(OR(E88="",F88=""),"",DATE(YEAR(E88),MONTH(E88)+F88,DAY(E88)))</f>
        <v>46283</v>
      </c>
      <c r="H88" s="12" t="str">
        <f t="shared" ref="H88" ca="1" si="15">IF(G88="","",IF(G88&lt;TODAY(),"PO TERMINIE",IF(G88&lt;=TODAY()+14,"DO WYKONANIA","OK")))</f>
        <v>OK</v>
      </c>
      <c r="I88" s="14"/>
      <c r="J88" s="1" t="str">
        <f t="shared" ref="J88" si="16">IF(COUNTA(A88:F88)=0,"",IF(I88="","BRAK PROTOKOŁU","DODANY"))</f>
        <v>BRAK PROTOKOŁU</v>
      </c>
      <c r="K88" s="1"/>
      <c r="M88" s="13" t="str" cm="1">
        <f t="array" ref="M88:AD88">IF($A88="","",IFERROR(TRANSPOSE(_xlfn._xlws.FILTER(Lokale!$C$3:$C$91,Lokale!$B$3:$B$91=$A88)),""))</f>
        <v>170 (Glamour)</v>
      </c>
      <c r="N88" s="13" t="str">
        <v>171 (Starter Dworzec)</v>
      </c>
      <c r="O88" s="13" t="str">
        <v>172 (Starter Przyloty)</v>
      </c>
      <c r="P88" s="13" t="str">
        <v>173 (LMDL2)</v>
      </c>
      <c r="Q88" s="13" t="str">
        <v>174 (Zoom NS)</v>
      </c>
      <c r="R88" s="13" t="str">
        <v>175 (Ministore NS)</v>
      </c>
      <c r="S88" s="13" t="str">
        <v>176 (Zoom odloty)</v>
      </c>
      <c r="T88" s="13" t="str">
        <v>177 (Spirit of Poland)</v>
      </c>
      <c r="U88" s="13" t="str">
        <v>178 (Multistore)</v>
      </c>
      <c r="V88" s="13" t="str">
        <v>179 (ZOOM)</v>
      </c>
      <c r="W88" s="13" t="str">
        <v>180 (Starter odloty)</v>
      </c>
      <c r="X88" s="13" t="str">
        <v>181 (Bestseller)</v>
      </c>
      <c r="Y88" s="13" t="str">
        <v>182 (Zoom palarnia)</v>
      </c>
      <c r="Z88" s="13" t="str">
        <v>183 (LMDL)</v>
      </c>
      <c r="AA88" s="13" t="str">
        <v>187 (Zoom NS)</v>
      </c>
      <c r="AB88" s="13" t="str">
        <v>208 (PIZZA)</v>
      </c>
      <c r="AC88" s="13" t="str">
        <v>532 (Magazyn)</v>
      </c>
      <c r="AD88" s="13" t="str">
        <v>Wszystkie lokale</v>
      </c>
      <c r="AJ88" s="13" t="str" cm="1">
        <f t="array" ref="AJ88:BG88">IF($C88="","",IFERROR(TRANSPOSE(_xlfn._xlws.FILTER(Listy!$D$2:$D$60,Listy!$C$2:$C$60=$C88)),""))</f>
        <v>Elektryczny (roczny)</v>
      </c>
      <c r="AK88" s="13" t="str">
        <v>Elektryczny (5-cio letni)</v>
      </c>
      <c r="AL88" s="13" t="str">
        <v>Systemy PPOŻ</v>
      </c>
      <c r="AM88" s="13" t="str">
        <v>Gaśnice</v>
      </c>
      <c r="AN88" s="13" t="str">
        <v>Klimatyzacja</v>
      </c>
      <c r="AO88" s="13" t="str">
        <v>Alarmy</v>
      </c>
      <c r="AP88" s="13" t="str">
        <v>Hydranty</v>
      </c>
      <c r="AQ88" s="13" t="str">
        <v xml:space="preserve">Rolety </v>
      </c>
      <c r="AR88" s="13" t="str">
        <v>Wentylacja</v>
      </c>
      <c r="AS88" s="13" t="str">
        <v>Wymiana filtrów</v>
      </c>
      <c r="AT88" s="13" t="str">
        <v>Regałów magazynowych</v>
      </c>
      <c r="AU88" s="13" t="str">
        <v>CRO</v>
      </c>
      <c r="AV88" s="13" t="str">
        <v>Mroźnia/Chłodnia</v>
      </c>
      <c r="AW88" s="13" t="str">
        <v>Regały chłodnicze</v>
      </c>
      <c r="AX88" s="13" t="str">
        <v>Separatory tłuszczu</v>
      </c>
      <c r="AY88" s="13" t="str">
        <v>Vendingi</v>
      </c>
      <c r="AZ88" s="13" t="str">
        <v>UDT (wózki widłowe, paleciaki)</v>
      </c>
      <c r="BA88" s="13" t="str">
        <v>BHP (drabiny, schodki, podesty)</v>
      </c>
      <c r="BB88" s="12" t="str">
        <v>Ansul</v>
      </c>
      <c r="BC88" s="12" t="str">
        <v>Okap</v>
      </c>
      <c r="BD88" s="12" t="str">
        <v>Brama garażowa</v>
      </c>
      <c r="BE88" s="12" t="str">
        <v>Żaluzje (gastro)</v>
      </c>
      <c r="BF88" s="12" t="str">
        <v>Bramki antykradzieżowe</v>
      </c>
      <c r="BG88" s="12" t="str">
        <v>Mycie jednostek klimatyzacji</v>
      </c>
    </row>
    <row r="89" spans="1:59" ht="25" customHeight="1" x14ac:dyDescent="0.35">
      <c r="A89" s="12" t="s">
        <v>8</v>
      </c>
      <c r="B89" s="12" t="s">
        <v>66</v>
      </c>
      <c r="C89" s="12" t="s">
        <v>93</v>
      </c>
      <c r="D89" s="12" t="s">
        <v>162</v>
      </c>
      <c r="E89" s="15">
        <v>46191</v>
      </c>
      <c r="F89" s="1">
        <v>36</v>
      </c>
      <c r="G89" s="4">
        <f>IF(OR(E89="",F89=""),"",DATE(YEAR(E89),MONTH(E89)+F89,DAY(E89)))</f>
        <v>47287</v>
      </c>
      <c r="H89" s="12" t="str">
        <f ca="1">IF(G89="","",IF(G89&lt;TODAY(),"PO TERMINIE",IF(G89&lt;=TODAY()+14,"DO WYKONANIA","OK")))</f>
        <v>OK</v>
      </c>
      <c r="I89" s="14"/>
      <c r="J89" s="1" t="e">
        <f>IF(COUNTA(A89:F291)=0,"",IF(#REF!="","BRAK PROTOKOŁU","DODANY"))</f>
        <v>#REF!</v>
      </c>
      <c r="K89" s="1"/>
    </row>
    <row r="90" spans="1:59" ht="25" customHeight="1" x14ac:dyDescent="0.35">
      <c r="A90" s="12" t="s">
        <v>8</v>
      </c>
      <c r="B90" s="12" t="s">
        <v>68</v>
      </c>
      <c r="C90" s="12" t="s">
        <v>93</v>
      </c>
      <c r="D90" s="12" t="s">
        <v>85</v>
      </c>
      <c r="F90" s="1"/>
      <c r="G90" s="4" t="str">
        <f t="shared" ref="G90:G104" si="17">IF(OR(E90="",F90=""),"",DATE(YEAR(E90),MONTH(E90)+F90,DAY(E90)))</f>
        <v/>
      </c>
      <c r="H90" s="12" t="str">
        <f t="shared" ref="H90:H105" ca="1" si="18">IF(G90="","",IF(G90&lt;TODAY(),"PO TERMINIE",IF(G90&lt;=TODAY()+14,"DO WYKONANIA","OK")))</f>
        <v/>
      </c>
      <c r="I90" s="14"/>
      <c r="J90" s="1" t="e">
        <f>IF(COUNTA(A90:F276)=0,"",IF(#REF!="","BRAK PROTOKOŁU","DODANY"))</f>
        <v>#REF!</v>
      </c>
      <c r="K90" s="1"/>
      <c r="M90" s="13" t="str" cm="1">
        <f t="array" ref="M90:AD90">IF($A90="","",IFERROR(TRANSPOSE(_xlfn._xlws.FILTER(Lokale!$C$3:$C$91,Lokale!$B$3:$B$91=$A90)),""))</f>
        <v>170 (Glamour)</v>
      </c>
      <c r="N90" s="13" t="str">
        <v>171 (Starter Dworzec)</v>
      </c>
      <c r="O90" s="13" t="str">
        <v>172 (Starter Przyloty)</v>
      </c>
      <c r="P90" s="13" t="str">
        <v>173 (LMDL2)</v>
      </c>
      <c r="Q90" s="13" t="str">
        <v>174 (Zoom NS)</v>
      </c>
      <c r="R90" s="13" t="str">
        <v>175 (Ministore NS)</v>
      </c>
      <c r="S90" s="13" t="str">
        <v>176 (Zoom odloty)</v>
      </c>
      <c r="T90" s="13" t="str">
        <v>177 (Spirit of Poland)</v>
      </c>
      <c r="U90" s="13" t="str">
        <v>178 (Multistore)</v>
      </c>
      <c r="V90" s="13" t="str">
        <v>179 (ZOOM)</v>
      </c>
      <c r="W90" s="13" t="str">
        <v>180 (Starter odloty)</v>
      </c>
      <c r="X90" s="13" t="str">
        <v>181 (Bestseller)</v>
      </c>
      <c r="Y90" s="13" t="str">
        <v>182 (Zoom palarnia)</v>
      </c>
      <c r="Z90" s="13" t="str">
        <v>183 (LMDL)</v>
      </c>
      <c r="AA90" s="13" t="str">
        <v>187 (Zoom NS)</v>
      </c>
      <c r="AB90" s="13" t="str">
        <v>208 (PIZZA)</v>
      </c>
      <c r="AC90" s="13" t="str">
        <v>532 (Magazyn)</v>
      </c>
      <c r="AD90" s="13" t="str">
        <v>Wszystkie lokale</v>
      </c>
      <c r="AJ90" s="13" t="str" cm="1">
        <f t="array" ref="AJ90:BG90">IF($C90="","",IFERROR(TRANSPOSE(_xlfn._xlws.FILTER(Listy!$D$2:$D$60,Listy!$C$2:$C$60=$C90)),""))</f>
        <v>Elektryczny (roczny)</v>
      </c>
      <c r="AK90" s="13" t="str">
        <v>Elektryczny (5-cio letni)</v>
      </c>
      <c r="AL90" s="13" t="str">
        <v>Systemy PPOŻ</v>
      </c>
      <c r="AM90" s="13" t="str">
        <v>Gaśnice</v>
      </c>
      <c r="AN90" s="13" t="str">
        <v>Klimatyzacja</v>
      </c>
      <c r="AO90" s="13" t="str">
        <v>Alarmy</v>
      </c>
      <c r="AP90" s="13" t="str">
        <v>Hydranty</v>
      </c>
      <c r="AQ90" s="13" t="str">
        <v xml:space="preserve">Rolety </v>
      </c>
      <c r="AR90" s="13" t="str">
        <v>Wentylacja</v>
      </c>
      <c r="AS90" s="13" t="str">
        <v>Wymiana filtrów</v>
      </c>
      <c r="AT90" s="13" t="str">
        <v>Regałów magazynowych</v>
      </c>
      <c r="AU90" s="13" t="str">
        <v>CRO</v>
      </c>
      <c r="AV90" s="13" t="str">
        <v>Mroźnia/Chłodnia</v>
      </c>
      <c r="AW90" s="13" t="str">
        <v>Regały chłodnicze</v>
      </c>
      <c r="AX90" s="13" t="str">
        <v>Separatory tłuszczu</v>
      </c>
      <c r="AY90" s="13" t="str">
        <v>Vendingi</v>
      </c>
      <c r="AZ90" s="13" t="str">
        <v>UDT (wózki widłowe, paleciaki)</v>
      </c>
      <c r="BA90" s="13" t="str">
        <v>BHP (drabiny, schodki, podesty)</v>
      </c>
      <c r="BB90" s="12" t="str">
        <v>Ansul</v>
      </c>
      <c r="BC90" s="12" t="str">
        <v>Okap</v>
      </c>
      <c r="BD90" s="12" t="str">
        <v>Brama garażowa</v>
      </c>
      <c r="BE90" s="12" t="str">
        <v>Żaluzje (gastro)</v>
      </c>
      <c r="BF90" s="12" t="str">
        <v>Bramki antykradzieżowe</v>
      </c>
      <c r="BG90" s="12" t="str">
        <v>Mycie jednostek klimatyzacji</v>
      </c>
    </row>
    <row r="91" spans="1:59" ht="25" customHeight="1" x14ac:dyDescent="0.35">
      <c r="A91" s="12" t="s">
        <v>8</v>
      </c>
      <c r="B91" s="12" t="s">
        <v>68</v>
      </c>
      <c r="C91" s="12" t="s">
        <v>93</v>
      </c>
      <c r="D91" s="12" t="s">
        <v>86</v>
      </c>
      <c r="E91" s="15">
        <v>45552</v>
      </c>
      <c r="F91" s="1"/>
      <c r="G91" s="4" t="str">
        <f t="shared" si="17"/>
        <v/>
      </c>
      <c r="H91" s="12" t="str">
        <f t="shared" ca="1" si="18"/>
        <v/>
      </c>
      <c r="I91" s="14"/>
      <c r="J91" s="1" t="e">
        <f>IF(COUNTA(A91:F277)=0,"",IF(#REF!="","BRAK PROTOKOŁU","DODANY"))</f>
        <v>#REF!</v>
      </c>
      <c r="K91" s="1"/>
      <c r="M91" s="13" t="str" cm="1">
        <f t="array" ref="M91:AD91">IF($A91="","",IFERROR(TRANSPOSE(_xlfn._xlws.FILTER(Lokale!$C$3:$C$91,Lokale!$B$3:$B$91=$A91)),""))</f>
        <v>170 (Glamour)</v>
      </c>
      <c r="N91" s="13" t="str">
        <v>171 (Starter Dworzec)</v>
      </c>
      <c r="O91" s="13" t="str">
        <v>172 (Starter Przyloty)</v>
      </c>
      <c r="P91" s="13" t="str">
        <v>173 (LMDL2)</v>
      </c>
      <c r="Q91" s="13" t="str">
        <v>174 (Zoom NS)</v>
      </c>
      <c r="R91" s="13" t="str">
        <v>175 (Ministore NS)</v>
      </c>
      <c r="S91" s="13" t="str">
        <v>176 (Zoom odloty)</v>
      </c>
      <c r="T91" s="13" t="str">
        <v>177 (Spirit of Poland)</v>
      </c>
      <c r="U91" s="13" t="str">
        <v>178 (Multistore)</v>
      </c>
      <c r="V91" s="13" t="str">
        <v>179 (ZOOM)</v>
      </c>
      <c r="W91" s="13" t="str">
        <v>180 (Starter odloty)</v>
      </c>
      <c r="X91" s="13" t="str">
        <v>181 (Bestseller)</v>
      </c>
      <c r="Y91" s="13" t="str">
        <v>182 (Zoom palarnia)</v>
      </c>
      <c r="Z91" s="13" t="str">
        <v>183 (LMDL)</v>
      </c>
      <c r="AA91" s="13" t="str">
        <v>187 (Zoom NS)</v>
      </c>
      <c r="AB91" s="13" t="str">
        <v>208 (PIZZA)</v>
      </c>
      <c r="AC91" s="13" t="str">
        <v>532 (Magazyn)</v>
      </c>
      <c r="AD91" s="13" t="str">
        <v>Wszystkie lokale</v>
      </c>
      <c r="AJ91" s="13" t="str" cm="1">
        <f t="array" ref="AJ91:BG91">IF($C91="","",IFERROR(TRANSPOSE(_xlfn._xlws.FILTER(Listy!$D$2:$D$60,Listy!$C$2:$C$60=$C91)),""))</f>
        <v>Elektryczny (roczny)</v>
      </c>
      <c r="AK91" s="13" t="str">
        <v>Elektryczny (5-cio letni)</v>
      </c>
      <c r="AL91" s="13" t="str">
        <v>Systemy PPOŻ</v>
      </c>
      <c r="AM91" s="13" t="str">
        <v>Gaśnice</v>
      </c>
      <c r="AN91" s="13" t="str">
        <v>Klimatyzacja</v>
      </c>
      <c r="AO91" s="13" t="str">
        <v>Alarmy</v>
      </c>
      <c r="AP91" s="13" t="str">
        <v>Hydranty</v>
      </c>
      <c r="AQ91" s="13" t="str">
        <v xml:space="preserve">Rolety </v>
      </c>
      <c r="AR91" s="13" t="str">
        <v>Wentylacja</v>
      </c>
      <c r="AS91" s="13" t="str">
        <v>Wymiana filtrów</v>
      </c>
      <c r="AT91" s="13" t="str">
        <v>Regałów magazynowych</v>
      </c>
      <c r="AU91" s="13" t="str">
        <v>CRO</v>
      </c>
      <c r="AV91" s="13" t="str">
        <v>Mroźnia/Chłodnia</v>
      </c>
      <c r="AW91" s="13" t="str">
        <v>Regały chłodnicze</v>
      </c>
      <c r="AX91" s="13" t="str">
        <v>Separatory tłuszczu</v>
      </c>
      <c r="AY91" s="13" t="str">
        <v>Vendingi</v>
      </c>
      <c r="AZ91" s="13" t="str">
        <v>UDT (wózki widłowe, paleciaki)</v>
      </c>
      <c r="BA91" s="13" t="str">
        <v>BHP (drabiny, schodki, podesty)</v>
      </c>
      <c r="BB91" s="12" t="str">
        <v>Ansul</v>
      </c>
      <c r="BC91" s="12" t="str">
        <v>Okap</v>
      </c>
      <c r="BD91" s="12" t="str">
        <v>Brama garażowa</v>
      </c>
      <c r="BE91" s="12" t="str">
        <v>Żaluzje (gastro)</v>
      </c>
      <c r="BF91" s="12" t="str">
        <v>Bramki antykradzieżowe</v>
      </c>
      <c r="BG91" s="12" t="str">
        <v>Mycie jednostek klimatyzacji</v>
      </c>
    </row>
    <row r="92" spans="1:59" ht="25" customHeight="1" x14ac:dyDescent="0.35">
      <c r="A92" s="12" t="s">
        <v>8</v>
      </c>
      <c r="B92" s="12" t="s">
        <v>68</v>
      </c>
      <c r="C92" s="12" t="s">
        <v>93</v>
      </c>
      <c r="D92" s="12" t="s">
        <v>99</v>
      </c>
      <c r="F92" s="1"/>
      <c r="G92" s="4" t="str">
        <f t="shared" si="17"/>
        <v/>
      </c>
      <c r="H92" s="12" t="str">
        <f t="shared" ca="1" si="18"/>
        <v/>
      </c>
      <c r="I92" s="14"/>
      <c r="J92" s="1" t="e">
        <f>IF(COUNTA(A92:F278)=0,"",IF(#REF!="","BRAK PROTOKOŁU","DODANY"))</f>
        <v>#REF!</v>
      </c>
      <c r="K92" s="1"/>
      <c r="M92" s="13" t="str" cm="1">
        <f t="array" ref="M92:AD92">IF($A92="","",IFERROR(TRANSPOSE(_xlfn._xlws.FILTER(Lokale!$C$3:$C$91,Lokale!$B$3:$B$91=$A92)),""))</f>
        <v>170 (Glamour)</v>
      </c>
      <c r="N92" s="13" t="str">
        <v>171 (Starter Dworzec)</v>
      </c>
      <c r="O92" s="13" t="str">
        <v>172 (Starter Przyloty)</v>
      </c>
      <c r="P92" s="13" t="str">
        <v>173 (LMDL2)</v>
      </c>
      <c r="Q92" s="13" t="str">
        <v>174 (Zoom NS)</v>
      </c>
      <c r="R92" s="13" t="str">
        <v>175 (Ministore NS)</v>
      </c>
      <c r="S92" s="13" t="str">
        <v>176 (Zoom odloty)</v>
      </c>
      <c r="T92" s="13" t="str">
        <v>177 (Spirit of Poland)</v>
      </c>
      <c r="U92" s="13" t="str">
        <v>178 (Multistore)</v>
      </c>
      <c r="V92" s="13" t="str">
        <v>179 (ZOOM)</v>
      </c>
      <c r="W92" s="13" t="str">
        <v>180 (Starter odloty)</v>
      </c>
      <c r="X92" s="13" t="str">
        <v>181 (Bestseller)</v>
      </c>
      <c r="Y92" s="13" t="str">
        <v>182 (Zoom palarnia)</v>
      </c>
      <c r="Z92" s="13" t="str">
        <v>183 (LMDL)</v>
      </c>
      <c r="AA92" s="13" t="str">
        <v>187 (Zoom NS)</v>
      </c>
      <c r="AB92" s="13" t="str">
        <v>208 (PIZZA)</v>
      </c>
      <c r="AC92" s="13" t="str">
        <v>532 (Magazyn)</v>
      </c>
      <c r="AD92" s="13" t="str">
        <v>Wszystkie lokale</v>
      </c>
      <c r="AJ92" s="13" t="str" cm="1">
        <f t="array" ref="AJ92:BG92">IF($C92="","",IFERROR(TRANSPOSE(_xlfn._xlws.FILTER(Listy!$D$2:$D$60,Listy!$C$2:$C$60=$C92)),""))</f>
        <v>Elektryczny (roczny)</v>
      </c>
      <c r="AK92" s="13" t="str">
        <v>Elektryczny (5-cio letni)</v>
      </c>
      <c r="AL92" s="13" t="str">
        <v>Systemy PPOŻ</v>
      </c>
      <c r="AM92" s="13" t="str">
        <v>Gaśnice</v>
      </c>
      <c r="AN92" s="13" t="str">
        <v>Klimatyzacja</v>
      </c>
      <c r="AO92" s="13" t="str">
        <v>Alarmy</v>
      </c>
      <c r="AP92" s="13" t="str">
        <v>Hydranty</v>
      </c>
      <c r="AQ92" s="13" t="str">
        <v xml:space="preserve">Rolety </v>
      </c>
      <c r="AR92" s="13" t="str">
        <v>Wentylacja</v>
      </c>
      <c r="AS92" s="13" t="str">
        <v>Wymiana filtrów</v>
      </c>
      <c r="AT92" s="13" t="str">
        <v>Regałów magazynowych</v>
      </c>
      <c r="AU92" s="13" t="str">
        <v>CRO</v>
      </c>
      <c r="AV92" s="13" t="str">
        <v>Mroźnia/Chłodnia</v>
      </c>
      <c r="AW92" s="13" t="str">
        <v>Regały chłodnicze</v>
      </c>
      <c r="AX92" s="13" t="str">
        <v>Separatory tłuszczu</v>
      </c>
      <c r="AY92" s="13" t="str">
        <v>Vendingi</v>
      </c>
      <c r="AZ92" s="13" t="str">
        <v>UDT (wózki widłowe, paleciaki)</v>
      </c>
      <c r="BA92" s="13" t="str">
        <v>BHP (drabiny, schodki, podesty)</v>
      </c>
      <c r="BB92" s="12" t="str">
        <v>Ansul</v>
      </c>
      <c r="BC92" s="12" t="str">
        <v>Okap</v>
      </c>
      <c r="BD92" s="12" t="str">
        <v>Brama garażowa</v>
      </c>
      <c r="BE92" s="12" t="str">
        <v>Żaluzje (gastro)</v>
      </c>
      <c r="BF92" s="12" t="str">
        <v>Bramki antykradzieżowe</v>
      </c>
      <c r="BG92" s="12" t="str">
        <v>Mycie jednostek klimatyzacji</v>
      </c>
    </row>
    <row r="93" spans="1:59" ht="25" customHeight="1" x14ac:dyDescent="0.35">
      <c r="A93" s="12" t="s">
        <v>8</v>
      </c>
      <c r="B93" s="12" t="s">
        <v>68</v>
      </c>
      <c r="C93" s="12" t="s">
        <v>93</v>
      </c>
      <c r="D93" s="12" t="s">
        <v>96</v>
      </c>
      <c r="F93" s="1"/>
      <c r="G93" s="4" t="str">
        <f t="shared" si="17"/>
        <v/>
      </c>
      <c r="H93" s="12" t="str">
        <f t="shared" ca="1" si="18"/>
        <v/>
      </c>
      <c r="I93" s="14"/>
      <c r="J93" s="1" t="e">
        <f>IF(COUNTA(A93:F279)=0,"",IF(#REF!="","BRAK PROTOKOŁU","DODANY"))</f>
        <v>#REF!</v>
      </c>
      <c r="K93" s="1"/>
      <c r="M93" s="13" t="str" cm="1">
        <f t="array" ref="M93:AD93">IF($A93="","",IFERROR(TRANSPOSE(_xlfn._xlws.FILTER(Lokale!$C$3:$C$91,Lokale!$B$3:$B$91=$A93)),""))</f>
        <v>170 (Glamour)</v>
      </c>
      <c r="N93" s="13" t="str">
        <v>171 (Starter Dworzec)</v>
      </c>
      <c r="O93" s="13" t="str">
        <v>172 (Starter Przyloty)</v>
      </c>
      <c r="P93" s="13" t="str">
        <v>173 (LMDL2)</v>
      </c>
      <c r="Q93" s="13" t="str">
        <v>174 (Zoom NS)</v>
      </c>
      <c r="R93" s="13" t="str">
        <v>175 (Ministore NS)</v>
      </c>
      <c r="S93" s="13" t="str">
        <v>176 (Zoom odloty)</v>
      </c>
      <c r="T93" s="13" t="str">
        <v>177 (Spirit of Poland)</v>
      </c>
      <c r="U93" s="13" t="str">
        <v>178 (Multistore)</v>
      </c>
      <c r="V93" s="13" t="str">
        <v>179 (ZOOM)</v>
      </c>
      <c r="W93" s="13" t="str">
        <v>180 (Starter odloty)</v>
      </c>
      <c r="X93" s="13" t="str">
        <v>181 (Bestseller)</v>
      </c>
      <c r="Y93" s="13" t="str">
        <v>182 (Zoom palarnia)</v>
      </c>
      <c r="Z93" s="13" t="str">
        <v>183 (LMDL)</v>
      </c>
      <c r="AA93" s="13" t="str">
        <v>187 (Zoom NS)</v>
      </c>
      <c r="AB93" s="13" t="str">
        <v>208 (PIZZA)</v>
      </c>
      <c r="AC93" s="13" t="str">
        <v>532 (Magazyn)</v>
      </c>
      <c r="AD93" s="13" t="str">
        <v>Wszystkie lokale</v>
      </c>
      <c r="AJ93" s="13" t="str" cm="1">
        <f t="array" ref="AJ93:BG93">IF($C93="","",IFERROR(TRANSPOSE(_xlfn._xlws.FILTER(Listy!$D$2:$D$60,Listy!$C$2:$C$60=$C93)),""))</f>
        <v>Elektryczny (roczny)</v>
      </c>
      <c r="AK93" s="13" t="str">
        <v>Elektryczny (5-cio letni)</v>
      </c>
      <c r="AL93" s="13" t="str">
        <v>Systemy PPOŻ</v>
      </c>
      <c r="AM93" s="13" t="str">
        <v>Gaśnice</v>
      </c>
      <c r="AN93" s="13" t="str">
        <v>Klimatyzacja</v>
      </c>
      <c r="AO93" s="13" t="str">
        <v>Alarmy</v>
      </c>
      <c r="AP93" s="13" t="str">
        <v>Hydranty</v>
      </c>
      <c r="AQ93" s="13" t="str">
        <v xml:space="preserve">Rolety </v>
      </c>
      <c r="AR93" s="13" t="str">
        <v>Wentylacja</v>
      </c>
      <c r="AS93" s="13" t="str">
        <v>Wymiana filtrów</v>
      </c>
      <c r="AT93" s="13" t="str">
        <v>Regałów magazynowych</v>
      </c>
      <c r="AU93" s="13" t="str">
        <v>CRO</v>
      </c>
      <c r="AV93" s="13" t="str">
        <v>Mroźnia/Chłodnia</v>
      </c>
      <c r="AW93" s="13" t="str">
        <v>Regały chłodnicze</v>
      </c>
      <c r="AX93" s="13" t="str">
        <v>Separatory tłuszczu</v>
      </c>
      <c r="AY93" s="13" t="str">
        <v>Vendingi</v>
      </c>
      <c r="AZ93" s="13" t="str">
        <v>UDT (wózki widłowe, paleciaki)</v>
      </c>
      <c r="BA93" s="13" t="str">
        <v>BHP (drabiny, schodki, podesty)</v>
      </c>
      <c r="BB93" s="12" t="str">
        <v>Ansul</v>
      </c>
      <c r="BC93" s="12" t="str">
        <v>Okap</v>
      </c>
      <c r="BD93" s="12" t="str">
        <v>Brama garażowa</v>
      </c>
      <c r="BE93" s="12" t="str">
        <v>Żaluzje (gastro)</v>
      </c>
      <c r="BF93" s="12" t="str">
        <v>Bramki antykradzieżowe</v>
      </c>
      <c r="BG93" s="12" t="str">
        <v>Mycie jednostek klimatyzacji</v>
      </c>
    </row>
    <row r="94" spans="1:59" ht="25" customHeight="1" x14ac:dyDescent="0.35">
      <c r="A94" s="12" t="s">
        <v>8</v>
      </c>
      <c r="B94" s="12" t="s">
        <v>68</v>
      </c>
      <c r="C94" s="12" t="s">
        <v>93</v>
      </c>
      <c r="D94" s="12" t="s">
        <v>22</v>
      </c>
      <c r="E94" s="15">
        <v>46176</v>
      </c>
      <c r="F94" s="1">
        <v>3</v>
      </c>
      <c r="G94" s="4">
        <f t="shared" si="17"/>
        <v>46268</v>
      </c>
      <c r="H94" s="12" t="str">
        <f t="shared" ca="1" si="18"/>
        <v>OK</v>
      </c>
      <c r="I94" s="14"/>
      <c r="J94" s="1" t="e">
        <f>IF(COUNTA(A94:F280)=0,"",IF(#REF!="","BRAK PROTOKOŁU","DODANY"))</f>
        <v>#REF!</v>
      </c>
      <c r="K94" s="1"/>
      <c r="M94" s="13" t="str" cm="1">
        <f t="array" ref="M94:AD94">IF($A94="","",IFERROR(TRANSPOSE(_xlfn._xlws.FILTER(Lokale!$C$3:$C$91,Lokale!$B$3:$B$91=$A94)),""))</f>
        <v>170 (Glamour)</v>
      </c>
      <c r="N94" s="13" t="str">
        <v>171 (Starter Dworzec)</v>
      </c>
      <c r="O94" s="13" t="str">
        <v>172 (Starter Przyloty)</v>
      </c>
      <c r="P94" s="13" t="str">
        <v>173 (LMDL2)</v>
      </c>
      <c r="Q94" s="13" t="str">
        <v>174 (Zoom NS)</v>
      </c>
      <c r="R94" s="13" t="str">
        <v>175 (Ministore NS)</v>
      </c>
      <c r="S94" s="13" t="str">
        <v>176 (Zoom odloty)</v>
      </c>
      <c r="T94" s="13" t="str">
        <v>177 (Spirit of Poland)</v>
      </c>
      <c r="U94" s="13" t="str">
        <v>178 (Multistore)</v>
      </c>
      <c r="V94" s="13" t="str">
        <v>179 (ZOOM)</v>
      </c>
      <c r="W94" s="13" t="str">
        <v>180 (Starter odloty)</v>
      </c>
      <c r="X94" s="13" t="str">
        <v>181 (Bestseller)</v>
      </c>
      <c r="Y94" s="13" t="str">
        <v>182 (Zoom palarnia)</v>
      </c>
      <c r="Z94" s="13" t="str">
        <v>183 (LMDL)</v>
      </c>
      <c r="AA94" s="13" t="str">
        <v>187 (Zoom NS)</v>
      </c>
      <c r="AB94" s="13" t="str">
        <v>208 (PIZZA)</v>
      </c>
      <c r="AC94" s="13" t="str">
        <v>532 (Magazyn)</v>
      </c>
      <c r="AD94" s="13" t="str">
        <v>Wszystkie lokale</v>
      </c>
      <c r="AJ94" s="13" t="str" cm="1">
        <f t="array" ref="AJ94:BG94">IF($C94="","",IFERROR(TRANSPOSE(_xlfn._xlws.FILTER(Listy!$D$2:$D$60,Listy!$C$2:$C$60=$C94)),""))</f>
        <v>Elektryczny (roczny)</v>
      </c>
      <c r="AK94" s="13" t="str">
        <v>Elektryczny (5-cio letni)</v>
      </c>
      <c r="AL94" s="13" t="str">
        <v>Systemy PPOŻ</v>
      </c>
      <c r="AM94" s="13" t="str">
        <v>Gaśnice</v>
      </c>
      <c r="AN94" s="13" t="str">
        <v>Klimatyzacja</v>
      </c>
      <c r="AO94" s="13" t="str">
        <v>Alarmy</v>
      </c>
      <c r="AP94" s="13" t="str">
        <v>Hydranty</v>
      </c>
      <c r="AQ94" s="13" t="str">
        <v xml:space="preserve">Rolety </v>
      </c>
      <c r="AR94" s="13" t="str">
        <v>Wentylacja</v>
      </c>
      <c r="AS94" s="13" t="str">
        <v>Wymiana filtrów</v>
      </c>
      <c r="AT94" s="13" t="str">
        <v>Regałów magazynowych</v>
      </c>
      <c r="AU94" s="13" t="str">
        <v>CRO</v>
      </c>
      <c r="AV94" s="13" t="str">
        <v>Mroźnia/Chłodnia</v>
      </c>
      <c r="AW94" s="13" t="str">
        <v>Regały chłodnicze</v>
      </c>
      <c r="AX94" s="13" t="str">
        <v>Separatory tłuszczu</v>
      </c>
      <c r="AY94" s="13" t="str">
        <v>Vendingi</v>
      </c>
      <c r="AZ94" s="13" t="str">
        <v>UDT (wózki widłowe, paleciaki)</v>
      </c>
      <c r="BA94" s="13" t="str">
        <v>BHP (drabiny, schodki, podesty)</v>
      </c>
      <c r="BB94" s="12" t="str">
        <v>Ansul</v>
      </c>
      <c r="BC94" s="12" t="str">
        <v>Okap</v>
      </c>
      <c r="BD94" s="12" t="str">
        <v>Brama garażowa</v>
      </c>
      <c r="BE94" s="12" t="str">
        <v>Żaluzje (gastro)</v>
      </c>
      <c r="BF94" s="12" t="str">
        <v>Bramki antykradzieżowe</v>
      </c>
      <c r="BG94" s="12" t="str">
        <v>Mycie jednostek klimatyzacji</v>
      </c>
    </row>
    <row r="95" spans="1:59" ht="25" customHeight="1" x14ac:dyDescent="0.35">
      <c r="A95" s="12" t="s">
        <v>8</v>
      </c>
      <c r="B95" s="12" t="s">
        <v>68</v>
      </c>
      <c r="C95" s="12" t="s">
        <v>93</v>
      </c>
      <c r="D95" s="12" t="s">
        <v>162</v>
      </c>
      <c r="E95" s="15">
        <v>46191</v>
      </c>
      <c r="F95" s="1">
        <v>36</v>
      </c>
      <c r="G95" s="4">
        <f t="shared" si="17"/>
        <v>47287</v>
      </c>
      <c r="H95" s="12" t="str">
        <f t="shared" ca="1" si="18"/>
        <v>OK</v>
      </c>
      <c r="I95" s="14"/>
      <c r="J95" s="1" t="e">
        <f>IF(COUNTA(A95:F281)=0,"",IF(#REF!="","BRAK PROTOKOŁU","DODANY"))</f>
        <v>#REF!</v>
      </c>
      <c r="K95" s="1"/>
      <c r="M95" s="13" t="str" cm="1">
        <f t="array" ref="M95:AD95">IF($A95="","",IFERROR(TRANSPOSE(_xlfn._xlws.FILTER(Lokale!$C$3:$C$91,Lokale!$B$3:$B$91=$A95)),""))</f>
        <v>170 (Glamour)</v>
      </c>
      <c r="N95" s="13" t="str">
        <v>171 (Starter Dworzec)</v>
      </c>
      <c r="O95" s="13" t="str">
        <v>172 (Starter Przyloty)</v>
      </c>
      <c r="P95" s="13" t="str">
        <v>173 (LMDL2)</v>
      </c>
      <c r="Q95" s="13" t="str">
        <v>174 (Zoom NS)</v>
      </c>
      <c r="R95" s="13" t="str">
        <v>175 (Ministore NS)</v>
      </c>
      <c r="S95" s="13" t="str">
        <v>176 (Zoom odloty)</v>
      </c>
      <c r="T95" s="13" t="str">
        <v>177 (Spirit of Poland)</v>
      </c>
      <c r="U95" s="13" t="str">
        <v>178 (Multistore)</v>
      </c>
      <c r="V95" s="13" t="str">
        <v>179 (ZOOM)</v>
      </c>
      <c r="W95" s="13" t="str">
        <v>180 (Starter odloty)</v>
      </c>
      <c r="X95" s="13" t="str">
        <v>181 (Bestseller)</v>
      </c>
      <c r="Y95" s="13" t="str">
        <v>182 (Zoom palarnia)</v>
      </c>
      <c r="Z95" s="13" t="str">
        <v>183 (LMDL)</v>
      </c>
      <c r="AA95" s="13" t="str">
        <v>187 (Zoom NS)</v>
      </c>
      <c r="AB95" s="13" t="str">
        <v>208 (PIZZA)</v>
      </c>
      <c r="AC95" s="13" t="str">
        <v>532 (Magazyn)</v>
      </c>
      <c r="AD95" s="13" t="str">
        <v>Wszystkie lokale</v>
      </c>
      <c r="AJ95" s="13" t="str" cm="1">
        <f t="array" ref="AJ95:BG95">IF($C95="","",IFERROR(TRANSPOSE(_xlfn._xlws.FILTER(Listy!$D$2:$D$60,Listy!$C$2:$C$60=$C95)),""))</f>
        <v>Elektryczny (roczny)</v>
      </c>
      <c r="AK95" s="13" t="str">
        <v>Elektryczny (5-cio letni)</v>
      </c>
      <c r="AL95" s="13" t="str">
        <v>Systemy PPOŻ</v>
      </c>
      <c r="AM95" s="13" t="str">
        <v>Gaśnice</v>
      </c>
      <c r="AN95" s="13" t="str">
        <v>Klimatyzacja</v>
      </c>
      <c r="AO95" s="13" t="str">
        <v>Alarmy</v>
      </c>
      <c r="AP95" s="13" t="str">
        <v>Hydranty</v>
      </c>
      <c r="AQ95" s="13" t="str">
        <v xml:space="preserve">Rolety </v>
      </c>
      <c r="AR95" s="13" t="str">
        <v>Wentylacja</v>
      </c>
      <c r="AS95" s="13" t="str">
        <v>Wymiana filtrów</v>
      </c>
      <c r="AT95" s="13" t="str">
        <v>Regałów magazynowych</v>
      </c>
      <c r="AU95" s="13" t="str">
        <v>CRO</v>
      </c>
      <c r="AV95" s="13" t="str">
        <v>Mroźnia/Chłodnia</v>
      </c>
      <c r="AW95" s="13" t="str">
        <v>Regały chłodnicze</v>
      </c>
      <c r="AX95" s="13" t="str">
        <v>Separatory tłuszczu</v>
      </c>
      <c r="AY95" s="13" t="str">
        <v>Vendingi</v>
      </c>
      <c r="AZ95" s="13" t="str">
        <v>UDT (wózki widłowe, paleciaki)</v>
      </c>
      <c r="BA95" s="13" t="str">
        <v>BHP (drabiny, schodki, podesty)</v>
      </c>
      <c r="BB95" s="12" t="str">
        <v>Ansul</v>
      </c>
      <c r="BC95" s="12" t="str">
        <v>Okap</v>
      </c>
      <c r="BD95" s="12" t="str">
        <v>Brama garażowa</v>
      </c>
      <c r="BE95" s="12" t="str">
        <v>Żaluzje (gastro)</v>
      </c>
      <c r="BF95" s="12" t="str">
        <v>Bramki antykradzieżowe</v>
      </c>
      <c r="BG95" s="12" t="str">
        <v>Mycie jednostek klimatyzacji</v>
      </c>
    </row>
    <row r="96" spans="1:59" ht="25" customHeight="1" x14ac:dyDescent="0.35">
      <c r="A96" s="12" t="s">
        <v>8</v>
      </c>
      <c r="B96" s="12" t="s">
        <v>68</v>
      </c>
      <c r="C96" s="12" t="s">
        <v>93</v>
      </c>
      <c r="D96" s="12" t="s">
        <v>77</v>
      </c>
      <c r="F96" s="1"/>
      <c r="G96" s="4" t="str">
        <f t="shared" si="17"/>
        <v/>
      </c>
      <c r="H96" s="12" t="str">
        <f t="shared" ca="1" si="18"/>
        <v/>
      </c>
      <c r="I96" s="14"/>
      <c r="J96" s="1" t="e">
        <f>IF(COUNTA(A96:F282)=0,"",IF(#REF!="","BRAK PROTOKOŁU","DODANY"))</f>
        <v>#REF!</v>
      </c>
      <c r="K96" s="1"/>
      <c r="M96" s="13" t="str" cm="1">
        <f t="array" ref="M96:AD96">IF($A96="","",IFERROR(TRANSPOSE(_xlfn._xlws.FILTER(Lokale!$C$3:$C$91,Lokale!$B$3:$B$91=$A96)),""))</f>
        <v>170 (Glamour)</v>
      </c>
      <c r="N96" s="13" t="str">
        <v>171 (Starter Dworzec)</v>
      </c>
      <c r="O96" s="13" t="str">
        <v>172 (Starter Przyloty)</v>
      </c>
      <c r="P96" s="13" t="str">
        <v>173 (LMDL2)</v>
      </c>
      <c r="Q96" s="13" t="str">
        <v>174 (Zoom NS)</v>
      </c>
      <c r="R96" s="13" t="str">
        <v>175 (Ministore NS)</v>
      </c>
      <c r="S96" s="13" t="str">
        <v>176 (Zoom odloty)</v>
      </c>
      <c r="T96" s="13" t="str">
        <v>177 (Spirit of Poland)</v>
      </c>
      <c r="U96" s="13" t="str">
        <v>178 (Multistore)</v>
      </c>
      <c r="V96" s="13" t="str">
        <v>179 (ZOOM)</v>
      </c>
      <c r="W96" s="13" t="str">
        <v>180 (Starter odloty)</v>
      </c>
      <c r="X96" s="13" t="str">
        <v>181 (Bestseller)</v>
      </c>
      <c r="Y96" s="13" t="str">
        <v>182 (Zoom palarnia)</v>
      </c>
      <c r="Z96" s="13" t="str">
        <v>183 (LMDL)</v>
      </c>
      <c r="AA96" s="13" t="str">
        <v>187 (Zoom NS)</v>
      </c>
      <c r="AB96" s="13" t="str">
        <v>208 (PIZZA)</v>
      </c>
      <c r="AC96" s="13" t="str">
        <v>532 (Magazyn)</v>
      </c>
      <c r="AD96" s="13" t="str">
        <v>Wszystkie lokale</v>
      </c>
      <c r="AJ96" s="13" t="str" cm="1">
        <f t="array" ref="AJ96:BG96">IF($C96="","",IFERROR(TRANSPOSE(_xlfn._xlws.FILTER(Listy!$D$2:$D$60,Listy!$C$2:$C$60=$C96)),""))</f>
        <v>Elektryczny (roczny)</v>
      </c>
      <c r="AK96" s="13" t="str">
        <v>Elektryczny (5-cio letni)</v>
      </c>
      <c r="AL96" s="13" t="str">
        <v>Systemy PPOŻ</v>
      </c>
      <c r="AM96" s="13" t="str">
        <v>Gaśnice</v>
      </c>
      <c r="AN96" s="13" t="str">
        <v>Klimatyzacja</v>
      </c>
      <c r="AO96" s="13" t="str">
        <v>Alarmy</v>
      </c>
      <c r="AP96" s="13" t="str">
        <v>Hydranty</v>
      </c>
      <c r="AQ96" s="13" t="str">
        <v xml:space="preserve">Rolety </v>
      </c>
      <c r="AR96" s="13" t="str">
        <v>Wentylacja</v>
      </c>
      <c r="AS96" s="13" t="str">
        <v>Wymiana filtrów</v>
      </c>
      <c r="AT96" s="13" t="str">
        <v>Regałów magazynowych</v>
      </c>
      <c r="AU96" s="13" t="str">
        <v>CRO</v>
      </c>
      <c r="AV96" s="13" t="str">
        <v>Mroźnia/Chłodnia</v>
      </c>
      <c r="AW96" s="13" t="str">
        <v>Regały chłodnicze</v>
      </c>
      <c r="AX96" s="13" t="str">
        <v>Separatory tłuszczu</v>
      </c>
      <c r="AY96" s="13" t="str">
        <v>Vendingi</v>
      </c>
      <c r="AZ96" s="13" t="str">
        <v>UDT (wózki widłowe, paleciaki)</v>
      </c>
      <c r="BA96" s="13" t="str">
        <v>BHP (drabiny, schodki, podesty)</v>
      </c>
      <c r="BB96" s="12" t="str">
        <v>Ansul</v>
      </c>
      <c r="BC96" s="12" t="str">
        <v>Okap</v>
      </c>
      <c r="BD96" s="12" t="str">
        <v>Brama garażowa</v>
      </c>
      <c r="BE96" s="12" t="str">
        <v>Żaluzje (gastro)</v>
      </c>
      <c r="BF96" s="12" t="str">
        <v>Bramki antykradzieżowe</v>
      </c>
      <c r="BG96" s="12" t="str">
        <v>Mycie jednostek klimatyzacji</v>
      </c>
    </row>
    <row r="97" spans="1:59" ht="25" customHeight="1" x14ac:dyDescent="0.35">
      <c r="A97" s="12" t="s">
        <v>8</v>
      </c>
      <c r="B97" s="12" t="s">
        <v>69</v>
      </c>
      <c r="C97" s="12" t="s">
        <v>93</v>
      </c>
      <c r="D97" s="12" t="s">
        <v>85</v>
      </c>
      <c r="E97" s="15">
        <v>46093</v>
      </c>
      <c r="F97" s="1">
        <v>12</v>
      </c>
      <c r="G97" s="4">
        <f t="shared" si="17"/>
        <v>46458</v>
      </c>
      <c r="H97" s="12" t="str">
        <f t="shared" ca="1" si="18"/>
        <v>OK</v>
      </c>
      <c r="I97" s="14"/>
      <c r="J97" s="1" t="e">
        <f>IF(COUNTA(A97:F298)=0,"",IF(#REF!="","BRAK PROTOKOŁU","DODANY"))</f>
        <v>#REF!</v>
      </c>
      <c r="K97" s="1"/>
      <c r="M97" s="13" t="str" cm="1">
        <f t="array" ref="M97:AD97">IF($A97="","",IFERROR(TRANSPOSE(_xlfn._xlws.FILTER(Lokale!$C$3:$C$91,Lokale!$B$3:$B$91=$A97)),""))</f>
        <v>170 (Glamour)</v>
      </c>
      <c r="N97" s="13" t="str">
        <v>171 (Starter Dworzec)</v>
      </c>
      <c r="O97" s="13" t="str">
        <v>172 (Starter Przyloty)</v>
      </c>
      <c r="P97" s="13" t="str">
        <v>173 (LMDL2)</v>
      </c>
      <c r="Q97" s="13" t="str">
        <v>174 (Zoom NS)</v>
      </c>
      <c r="R97" s="13" t="str">
        <v>175 (Ministore NS)</v>
      </c>
      <c r="S97" s="13" t="str">
        <v>176 (Zoom odloty)</v>
      </c>
      <c r="T97" s="13" t="str">
        <v>177 (Spirit of Poland)</v>
      </c>
      <c r="U97" s="13" t="str">
        <v>178 (Multistore)</v>
      </c>
      <c r="V97" s="13" t="str">
        <v>179 (ZOOM)</v>
      </c>
      <c r="W97" s="13" t="str">
        <v>180 (Starter odloty)</v>
      </c>
      <c r="X97" s="13" t="str">
        <v>181 (Bestseller)</v>
      </c>
      <c r="Y97" s="13" t="str">
        <v>182 (Zoom palarnia)</v>
      </c>
      <c r="Z97" s="13" t="str">
        <v>183 (LMDL)</v>
      </c>
      <c r="AA97" s="13" t="str">
        <v>187 (Zoom NS)</v>
      </c>
      <c r="AB97" s="13" t="str">
        <v>208 (PIZZA)</v>
      </c>
      <c r="AC97" s="13" t="str">
        <v>532 (Magazyn)</v>
      </c>
      <c r="AD97" s="13" t="str">
        <v>Wszystkie lokale</v>
      </c>
      <c r="AJ97" s="13" t="str" cm="1">
        <f t="array" ref="AJ97:BG97">IF($C97="","",IFERROR(TRANSPOSE(_xlfn._xlws.FILTER(Listy!$D$2:$D$60,Listy!$C$2:$C$60=$C97)),""))</f>
        <v>Elektryczny (roczny)</v>
      </c>
      <c r="AK97" s="13" t="str">
        <v>Elektryczny (5-cio letni)</v>
      </c>
      <c r="AL97" s="13" t="str">
        <v>Systemy PPOŻ</v>
      </c>
      <c r="AM97" s="13" t="str">
        <v>Gaśnice</v>
      </c>
      <c r="AN97" s="13" t="str">
        <v>Klimatyzacja</v>
      </c>
      <c r="AO97" s="13" t="str">
        <v>Alarmy</v>
      </c>
      <c r="AP97" s="13" t="str">
        <v>Hydranty</v>
      </c>
      <c r="AQ97" s="13" t="str">
        <v xml:space="preserve">Rolety </v>
      </c>
      <c r="AR97" s="13" t="str">
        <v>Wentylacja</v>
      </c>
      <c r="AS97" s="13" t="str">
        <v>Wymiana filtrów</v>
      </c>
      <c r="AT97" s="13" t="str">
        <v>Regałów magazynowych</v>
      </c>
      <c r="AU97" s="13" t="str">
        <v>CRO</v>
      </c>
      <c r="AV97" s="13" t="str">
        <v>Mroźnia/Chłodnia</v>
      </c>
      <c r="AW97" s="13" t="str">
        <v>Regały chłodnicze</v>
      </c>
      <c r="AX97" s="13" t="str">
        <v>Separatory tłuszczu</v>
      </c>
      <c r="AY97" s="13" t="str">
        <v>Vendingi</v>
      </c>
      <c r="AZ97" s="13" t="str">
        <v>UDT (wózki widłowe, paleciaki)</v>
      </c>
      <c r="BA97" s="13" t="str">
        <v>BHP (drabiny, schodki, podesty)</v>
      </c>
      <c r="BB97" s="12" t="str">
        <v>Ansul</v>
      </c>
      <c r="BC97" s="12" t="str">
        <v>Okap</v>
      </c>
      <c r="BD97" s="12" t="str">
        <v>Brama garażowa</v>
      </c>
      <c r="BE97" s="12" t="str">
        <v>Żaluzje (gastro)</v>
      </c>
      <c r="BF97" s="12" t="str">
        <v>Bramki antykradzieżowe</v>
      </c>
      <c r="BG97" s="12" t="str">
        <v>Mycie jednostek klimatyzacji</v>
      </c>
    </row>
    <row r="98" spans="1:59" ht="25" customHeight="1" x14ac:dyDescent="0.35">
      <c r="A98" s="12" t="s">
        <v>8</v>
      </c>
      <c r="B98" s="12" t="s">
        <v>69</v>
      </c>
      <c r="C98" s="12" t="s">
        <v>93</v>
      </c>
      <c r="D98" s="12" t="s">
        <v>86</v>
      </c>
      <c r="E98" s="15">
        <v>44997</v>
      </c>
      <c r="F98" s="1">
        <v>60</v>
      </c>
      <c r="G98" s="4">
        <f t="shared" si="17"/>
        <v>46824</v>
      </c>
      <c r="H98" s="12" t="str">
        <f t="shared" ca="1" si="18"/>
        <v>OK</v>
      </c>
      <c r="I98" s="14"/>
      <c r="J98" s="1" t="e">
        <f>IF(COUNTA(A98:F299)=0,"",IF(#REF!="","BRAK PROTOKOŁU","DODANY"))</f>
        <v>#REF!</v>
      </c>
      <c r="K98" s="1"/>
      <c r="M98" s="13" t="str" cm="1">
        <f t="array" ref="M98:AD98">IF($A98="","",IFERROR(TRANSPOSE(_xlfn._xlws.FILTER(Lokale!$C$3:$C$91,Lokale!$B$3:$B$91=$A98)),""))</f>
        <v>170 (Glamour)</v>
      </c>
      <c r="N98" s="13" t="str">
        <v>171 (Starter Dworzec)</v>
      </c>
      <c r="O98" s="13" t="str">
        <v>172 (Starter Przyloty)</v>
      </c>
      <c r="P98" s="13" t="str">
        <v>173 (LMDL2)</v>
      </c>
      <c r="Q98" s="13" t="str">
        <v>174 (Zoom NS)</v>
      </c>
      <c r="R98" s="13" t="str">
        <v>175 (Ministore NS)</v>
      </c>
      <c r="S98" s="13" t="str">
        <v>176 (Zoom odloty)</v>
      </c>
      <c r="T98" s="13" t="str">
        <v>177 (Spirit of Poland)</v>
      </c>
      <c r="U98" s="13" t="str">
        <v>178 (Multistore)</v>
      </c>
      <c r="V98" s="13" t="str">
        <v>179 (ZOOM)</v>
      </c>
      <c r="W98" s="13" t="str">
        <v>180 (Starter odloty)</v>
      </c>
      <c r="X98" s="13" t="str">
        <v>181 (Bestseller)</v>
      </c>
      <c r="Y98" s="13" t="str">
        <v>182 (Zoom palarnia)</v>
      </c>
      <c r="Z98" s="13" t="str">
        <v>183 (LMDL)</v>
      </c>
      <c r="AA98" s="13" t="str">
        <v>187 (Zoom NS)</v>
      </c>
      <c r="AB98" s="13" t="str">
        <v>208 (PIZZA)</v>
      </c>
      <c r="AC98" s="13" t="str">
        <v>532 (Magazyn)</v>
      </c>
      <c r="AD98" s="13" t="str">
        <v>Wszystkie lokale</v>
      </c>
      <c r="AJ98" s="13" t="str" cm="1">
        <f t="array" ref="AJ98:BG98">IF($C98="","",IFERROR(TRANSPOSE(_xlfn._xlws.FILTER(Listy!$D$2:$D$60,Listy!$C$2:$C$60=$C98)),""))</f>
        <v>Elektryczny (roczny)</v>
      </c>
      <c r="AK98" s="13" t="str">
        <v>Elektryczny (5-cio letni)</v>
      </c>
      <c r="AL98" s="13" t="str">
        <v>Systemy PPOŻ</v>
      </c>
      <c r="AM98" s="13" t="str">
        <v>Gaśnice</v>
      </c>
      <c r="AN98" s="13" t="str">
        <v>Klimatyzacja</v>
      </c>
      <c r="AO98" s="13" t="str">
        <v>Alarmy</v>
      </c>
      <c r="AP98" s="13" t="str">
        <v>Hydranty</v>
      </c>
      <c r="AQ98" s="13" t="str">
        <v xml:space="preserve">Rolety </v>
      </c>
      <c r="AR98" s="13" t="str">
        <v>Wentylacja</v>
      </c>
      <c r="AS98" s="13" t="str">
        <v>Wymiana filtrów</v>
      </c>
      <c r="AT98" s="13" t="str">
        <v>Regałów magazynowych</v>
      </c>
      <c r="AU98" s="13" t="str">
        <v>CRO</v>
      </c>
      <c r="AV98" s="13" t="str">
        <v>Mroźnia/Chłodnia</v>
      </c>
      <c r="AW98" s="13" t="str">
        <v>Regały chłodnicze</v>
      </c>
      <c r="AX98" s="13" t="str">
        <v>Separatory tłuszczu</v>
      </c>
      <c r="AY98" s="13" t="str">
        <v>Vendingi</v>
      </c>
      <c r="AZ98" s="13" t="str">
        <v>UDT (wózki widłowe, paleciaki)</v>
      </c>
      <c r="BA98" s="13" t="str">
        <v>BHP (drabiny, schodki, podesty)</v>
      </c>
      <c r="BB98" s="12" t="str">
        <v>Ansul</v>
      </c>
      <c r="BC98" s="12" t="str">
        <v>Okap</v>
      </c>
      <c r="BD98" s="12" t="str">
        <v>Brama garażowa</v>
      </c>
      <c r="BE98" s="12" t="str">
        <v>Żaluzje (gastro)</v>
      </c>
      <c r="BF98" s="12" t="str">
        <v>Bramki antykradzieżowe</v>
      </c>
      <c r="BG98" s="12" t="str">
        <v>Mycie jednostek klimatyzacji</v>
      </c>
    </row>
    <row r="99" spans="1:59" ht="25" customHeight="1" x14ac:dyDescent="0.35">
      <c r="A99" s="12" t="s">
        <v>8</v>
      </c>
      <c r="B99" s="12" t="s">
        <v>69</v>
      </c>
      <c r="C99" s="12" t="s">
        <v>93</v>
      </c>
      <c r="D99" s="12" t="s">
        <v>96</v>
      </c>
      <c r="E99" s="15">
        <v>46176</v>
      </c>
      <c r="F99" s="1">
        <v>12</v>
      </c>
      <c r="G99" s="4">
        <f t="shared" si="17"/>
        <v>46541</v>
      </c>
      <c r="H99" s="12" t="str">
        <f t="shared" ca="1" si="18"/>
        <v>OK</v>
      </c>
      <c r="I99" s="14"/>
      <c r="J99" s="1" t="e">
        <f>IF(COUNTA(A99:F301)=0,"",IF(#REF!="","BRAK PROTOKOŁU","DODANY"))</f>
        <v>#REF!</v>
      </c>
      <c r="K99" s="1"/>
      <c r="M99" s="13" t="str" cm="1">
        <f t="array" ref="M99:AD99">IF($A99="","",IFERROR(TRANSPOSE(_xlfn._xlws.FILTER(Lokale!$C$3:$C$91,Lokale!$B$3:$B$91=$A99)),""))</f>
        <v>170 (Glamour)</v>
      </c>
      <c r="N99" s="13" t="str">
        <v>171 (Starter Dworzec)</v>
      </c>
      <c r="O99" s="13" t="str">
        <v>172 (Starter Przyloty)</v>
      </c>
      <c r="P99" s="13" t="str">
        <v>173 (LMDL2)</v>
      </c>
      <c r="Q99" s="13" t="str">
        <v>174 (Zoom NS)</v>
      </c>
      <c r="R99" s="13" t="str">
        <v>175 (Ministore NS)</v>
      </c>
      <c r="S99" s="13" t="str">
        <v>176 (Zoom odloty)</v>
      </c>
      <c r="T99" s="13" t="str">
        <v>177 (Spirit of Poland)</v>
      </c>
      <c r="U99" s="13" t="str">
        <v>178 (Multistore)</v>
      </c>
      <c r="V99" s="13" t="str">
        <v>179 (ZOOM)</v>
      </c>
      <c r="W99" s="13" t="str">
        <v>180 (Starter odloty)</v>
      </c>
      <c r="X99" s="13" t="str">
        <v>181 (Bestseller)</v>
      </c>
      <c r="Y99" s="13" t="str">
        <v>182 (Zoom palarnia)</v>
      </c>
      <c r="Z99" s="13" t="str">
        <v>183 (LMDL)</v>
      </c>
      <c r="AA99" s="13" t="str">
        <v>187 (Zoom NS)</v>
      </c>
      <c r="AB99" s="13" t="str">
        <v>208 (PIZZA)</v>
      </c>
      <c r="AC99" s="13" t="str">
        <v>532 (Magazyn)</v>
      </c>
      <c r="AD99" s="13" t="str">
        <v>Wszystkie lokale</v>
      </c>
      <c r="AJ99" s="13" t="str" cm="1">
        <f t="array" ref="AJ99:BG99">IF($C99="","",IFERROR(TRANSPOSE(_xlfn._xlws.FILTER(Listy!$D$2:$D$60,Listy!$C$2:$C$60=$C99)),""))</f>
        <v>Elektryczny (roczny)</v>
      </c>
      <c r="AK99" s="13" t="str">
        <v>Elektryczny (5-cio letni)</v>
      </c>
      <c r="AL99" s="13" t="str">
        <v>Systemy PPOŻ</v>
      </c>
      <c r="AM99" s="13" t="str">
        <v>Gaśnice</v>
      </c>
      <c r="AN99" s="13" t="str">
        <v>Klimatyzacja</v>
      </c>
      <c r="AO99" s="13" t="str">
        <v>Alarmy</v>
      </c>
      <c r="AP99" s="13" t="str">
        <v>Hydranty</v>
      </c>
      <c r="AQ99" s="13" t="str">
        <v xml:space="preserve">Rolety </v>
      </c>
      <c r="AR99" s="13" t="str">
        <v>Wentylacja</v>
      </c>
      <c r="AS99" s="13" t="str">
        <v>Wymiana filtrów</v>
      </c>
      <c r="AT99" s="13" t="str">
        <v>Regałów magazynowych</v>
      </c>
      <c r="AU99" s="13" t="str">
        <v>CRO</v>
      </c>
      <c r="AV99" s="13" t="str">
        <v>Mroźnia/Chłodnia</v>
      </c>
      <c r="AW99" s="13" t="str">
        <v>Regały chłodnicze</v>
      </c>
      <c r="AX99" s="13" t="str">
        <v>Separatory tłuszczu</v>
      </c>
      <c r="AY99" s="13" t="str">
        <v>Vendingi</v>
      </c>
      <c r="AZ99" s="13" t="str">
        <v>UDT (wózki widłowe, paleciaki)</v>
      </c>
      <c r="BA99" s="13" t="str">
        <v>BHP (drabiny, schodki, podesty)</v>
      </c>
      <c r="BB99" s="12" t="str">
        <v>Ansul</v>
      </c>
      <c r="BC99" s="12" t="str">
        <v>Okap</v>
      </c>
      <c r="BD99" s="12" t="str">
        <v>Brama garażowa</v>
      </c>
      <c r="BE99" s="12" t="str">
        <v>Żaluzje (gastro)</v>
      </c>
      <c r="BF99" s="12" t="str">
        <v>Bramki antykradzieżowe</v>
      </c>
      <c r="BG99" s="12" t="str">
        <v>Mycie jednostek klimatyzacji</v>
      </c>
    </row>
    <row r="100" spans="1:59" ht="25" customHeight="1" x14ac:dyDescent="0.35">
      <c r="A100" s="12" t="s">
        <v>8</v>
      </c>
      <c r="B100" s="12" t="s">
        <v>69</v>
      </c>
      <c r="C100" s="12" t="s">
        <v>93</v>
      </c>
      <c r="D100" s="12" t="s">
        <v>22</v>
      </c>
      <c r="E100" s="15">
        <v>46192</v>
      </c>
      <c r="F100" s="1">
        <v>3</v>
      </c>
      <c r="G100" s="4">
        <f t="shared" si="17"/>
        <v>46284</v>
      </c>
      <c r="H100" s="12" t="str">
        <f t="shared" ca="1" si="18"/>
        <v>OK</v>
      </c>
      <c r="I100" s="14"/>
      <c r="J100" s="1" t="e">
        <f>IF(COUNTA(A100:F302)=0,"",IF(#REF!="","BRAK PROTOKOŁU","DODANY"))</f>
        <v>#REF!</v>
      </c>
      <c r="K100" s="1"/>
      <c r="M100" s="13" t="str" cm="1">
        <f t="array" ref="M100:AD100">IF($A100="","",IFERROR(TRANSPOSE(_xlfn._xlws.FILTER(Lokale!$C$3:$C$91,Lokale!$B$3:$B$91=$A100)),""))</f>
        <v>170 (Glamour)</v>
      </c>
      <c r="N100" s="13" t="str">
        <v>171 (Starter Dworzec)</v>
      </c>
      <c r="O100" s="13" t="str">
        <v>172 (Starter Przyloty)</v>
      </c>
      <c r="P100" s="13" t="str">
        <v>173 (LMDL2)</v>
      </c>
      <c r="Q100" s="13" t="str">
        <v>174 (Zoom NS)</v>
      </c>
      <c r="R100" s="13" t="str">
        <v>175 (Ministore NS)</v>
      </c>
      <c r="S100" s="13" t="str">
        <v>176 (Zoom odloty)</v>
      </c>
      <c r="T100" s="13" t="str">
        <v>177 (Spirit of Poland)</v>
      </c>
      <c r="U100" s="13" t="str">
        <v>178 (Multistore)</v>
      </c>
      <c r="V100" s="13" t="str">
        <v>179 (ZOOM)</v>
      </c>
      <c r="W100" s="13" t="str">
        <v>180 (Starter odloty)</v>
      </c>
      <c r="X100" s="13" t="str">
        <v>181 (Bestseller)</v>
      </c>
      <c r="Y100" s="13" t="str">
        <v>182 (Zoom palarnia)</v>
      </c>
      <c r="Z100" s="13" t="str">
        <v>183 (LMDL)</v>
      </c>
      <c r="AA100" s="13" t="str">
        <v>187 (Zoom NS)</v>
      </c>
      <c r="AB100" s="13" t="str">
        <v>208 (PIZZA)</v>
      </c>
      <c r="AC100" s="13" t="str">
        <v>532 (Magazyn)</v>
      </c>
      <c r="AD100" s="13" t="str">
        <v>Wszystkie lokale</v>
      </c>
      <c r="AJ100" s="13" t="str" cm="1">
        <f t="array" ref="AJ100:BG100">IF($C100="","",IFERROR(TRANSPOSE(_xlfn._xlws.FILTER(Listy!$D$2:$D$60,Listy!$C$2:$C$60=$C100)),""))</f>
        <v>Elektryczny (roczny)</v>
      </c>
      <c r="AK100" s="13" t="str">
        <v>Elektryczny (5-cio letni)</v>
      </c>
      <c r="AL100" s="13" t="str">
        <v>Systemy PPOŻ</v>
      </c>
      <c r="AM100" s="13" t="str">
        <v>Gaśnice</v>
      </c>
      <c r="AN100" s="13" t="str">
        <v>Klimatyzacja</v>
      </c>
      <c r="AO100" s="13" t="str">
        <v>Alarmy</v>
      </c>
      <c r="AP100" s="13" t="str">
        <v>Hydranty</v>
      </c>
      <c r="AQ100" s="13" t="str">
        <v xml:space="preserve">Rolety </v>
      </c>
      <c r="AR100" s="13" t="str">
        <v>Wentylacja</v>
      </c>
      <c r="AS100" s="13" t="str">
        <v>Wymiana filtrów</v>
      </c>
      <c r="AT100" s="13" t="str">
        <v>Regałów magazynowych</v>
      </c>
      <c r="AU100" s="13" t="str">
        <v>CRO</v>
      </c>
      <c r="AV100" s="13" t="str">
        <v>Mroźnia/Chłodnia</v>
      </c>
      <c r="AW100" s="13" t="str">
        <v>Regały chłodnicze</v>
      </c>
      <c r="AX100" s="13" t="str">
        <v>Separatory tłuszczu</v>
      </c>
      <c r="AY100" s="13" t="str">
        <v>Vendingi</v>
      </c>
      <c r="AZ100" s="13" t="str">
        <v>UDT (wózki widłowe, paleciaki)</v>
      </c>
      <c r="BA100" s="13" t="str">
        <v>BHP (drabiny, schodki, podesty)</v>
      </c>
      <c r="BB100" s="12" t="str">
        <v>Ansul</v>
      </c>
      <c r="BC100" s="12" t="str">
        <v>Okap</v>
      </c>
      <c r="BD100" s="12" t="str">
        <v>Brama garażowa</v>
      </c>
      <c r="BE100" s="12" t="str">
        <v>Żaluzje (gastro)</v>
      </c>
      <c r="BF100" s="12" t="str">
        <v>Bramki antykradzieżowe</v>
      </c>
      <c r="BG100" s="12" t="str">
        <v>Mycie jednostek klimatyzacji</v>
      </c>
    </row>
    <row r="101" spans="1:59" ht="25" customHeight="1" x14ac:dyDescent="0.35">
      <c r="A101" s="12" t="s">
        <v>8</v>
      </c>
      <c r="B101" s="12" t="s">
        <v>69</v>
      </c>
      <c r="C101" s="12" t="s">
        <v>93</v>
      </c>
      <c r="D101" s="12" t="s">
        <v>77</v>
      </c>
      <c r="E101" s="15">
        <v>46023</v>
      </c>
      <c r="F101" s="1">
        <v>12</v>
      </c>
      <c r="G101" s="4">
        <f t="shared" si="17"/>
        <v>46388</v>
      </c>
      <c r="H101" s="12" t="str">
        <f t="shared" ca="1" si="18"/>
        <v>OK</v>
      </c>
      <c r="I101" s="14"/>
      <c r="J101" s="1" t="e">
        <f>IF(COUNTA(A101:F304)=0,"",IF(#REF!="","BRAK PROTOKOŁU","DODANY"))</f>
        <v>#REF!</v>
      </c>
      <c r="K101" s="1"/>
      <c r="M101" s="13" t="str" cm="1">
        <f t="array" ref="M101:AD101">IF($A101="","",IFERROR(TRANSPOSE(_xlfn._xlws.FILTER(Lokale!$C$3:$C$91,Lokale!$B$3:$B$91=$A101)),""))</f>
        <v>170 (Glamour)</v>
      </c>
      <c r="N101" s="13" t="str">
        <v>171 (Starter Dworzec)</v>
      </c>
      <c r="O101" s="13" t="str">
        <v>172 (Starter Przyloty)</v>
      </c>
      <c r="P101" s="13" t="str">
        <v>173 (LMDL2)</v>
      </c>
      <c r="Q101" s="13" t="str">
        <v>174 (Zoom NS)</v>
      </c>
      <c r="R101" s="13" t="str">
        <v>175 (Ministore NS)</v>
      </c>
      <c r="S101" s="13" t="str">
        <v>176 (Zoom odloty)</v>
      </c>
      <c r="T101" s="13" t="str">
        <v>177 (Spirit of Poland)</v>
      </c>
      <c r="U101" s="13" t="str">
        <v>178 (Multistore)</v>
      </c>
      <c r="V101" s="13" t="str">
        <v>179 (ZOOM)</v>
      </c>
      <c r="W101" s="13" t="str">
        <v>180 (Starter odloty)</v>
      </c>
      <c r="X101" s="13" t="str">
        <v>181 (Bestseller)</v>
      </c>
      <c r="Y101" s="13" t="str">
        <v>182 (Zoom palarnia)</v>
      </c>
      <c r="Z101" s="13" t="str">
        <v>183 (LMDL)</v>
      </c>
      <c r="AA101" s="13" t="str">
        <v>187 (Zoom NS)</v>
      </c>
      <c r="AB101" s="13" t="str">
        <v>208 (PIZZA)</v>
      </c>
      <c r="AC101" s="13" t="str">
        <v>532 (Magazyn)</v>
      </c>
      <c r="AD101" s="13" t="str">
        <v>Wszystkie lokale</v>
      </c>
      <c r="AJ101" s="13" t="str" cm="1">
        <f t="array" ref="AJ101:BG101">IF($C101="","",IFERROR(TRANSPOSE(_xlfn._xlws.FILTER(Listy!$D$2:$D$60,Listy!$C$2:$C$60=$C101)),""))</f>
        <v>Elektryczny (roczny)</v>
      </c>
      <c r="AK101" s="13" t="str">
        <v>Elektryczny (5-cio letni)</v>
      </c>
      <c r="AL101" s="13" t="str">
        <v>Systemy PPOŻ</v>
      </c>
      <c r="AM101" s="13" t="str">
        <v>Gaśnice</v>
      </c>
      <c r="AN101" s="13" t="str">
        <v>Klimatyzacja</v>
      </c>
      <c r="AO101" s="13" t="str">
        <v>Alarmy</v>
      </c>
      <c r="AP101" s="13" t="str">
        <v>Hydranty</v>
      </c>
      <c r="AQ101" s="13" t="str">
        <v xml:space="preserve">Rolety </v>
      </c>
      <c r="AR101" s="13" t="str">
        <v>Wentylacja</v>
      </c>
      <c r="AS101" s="13" t="str">
        <v>Wymiana filtrów</v>
      </c>
      <c r="AT101" s="13" t="str">
        <v>Regałów magazynowych</v>
      </c>
      <c r="AU101" s="13" t="str">
        <v>CRO</v>
      </c>
      <c r="AV101" s="13" t="str">
        <v>Mroźnia/Chłodnia</v>
      </c>
      <c r="AW101" s="13" t="str">
        <v>Regały chłodnicze</v>
      </c>
      <c r="AX101" s="13" t="str">
        <v>Separatory tłuszczu</v>
      </c>
      <c r="AY101" s="13" t="str">
        <v>Vendingi</v>
      </c>
      <c r="AZ101" s="13" t="str">
        <v>UDT (wózki widłowe, paleciaki)</v>
      </c>
      <c r="BA101" s="13" t="str">
        <v>BHP (drabiny, schodki, podesty)</v>
      </c>
      <c r="BB101" s="12" t="str">
        <v>Ansul</v>
      </c>
      <c r="BC101" s="12" t="str">
        <v>Okap</v>
      </c>
      <c r="BD101" s="12" t="str">
        <v>Brama garażowa</v>
      </c>
      <c r="BE101" s="12" t="str">
        <v>Żaluzje (gastro)</v>
      </c>
      <c r="BF101" s="12" t="str">
        <v>Bramki antykradzieżowe</v>
      </c>
      <c r="BG101" s="12" t="str">
        <v>Mycie jednostek klimatyzacji</v>
      </c>
    </row>
    <row r="102" spans="1:59" ht="25" customHeight="1" x14ac:dyDescent="0.35">
      <c r="A102" s="12" t="s">
        <v>8</v>
      </c>
      <c r="B102" s="12" t="s">
        <v>69</v>
      </c>
      <c r="C102" s="12" t="s">
        <v>93</v>
      </c>
      <c r="D102" s="12" t="s">
        <v>23</v>
      </c>
      <c r="E102" s="15">
        <v>46192</v>
      </c>
      <c r="F102" s="1">
        <v>12</v>
      </c>
      <c r="G102" s="4">
        <f t="shared" si="17"/>
        <v>46557</v>
      </c>
      <c r="H102" s="12" t="str">
        <f t="shared" ca="1" si="18"/>
        <v>OK</v>
      </c>
      <c r="I102" s="14"/>
      <c r="J102" s="1" t="e">
        <f>IF(COUNTA(A102:F305)=0,"",IF(#REF!="","BRAK PROTOKOŁU","DODANY"))</f>
        <v>#REF!</v>
      </c>
      <c r="K102" s="1"/>
      <c r="M102" s="13" t="str" cm="1">
        <f t="array" ref="M102:AD102">IF($A102="","",IFERROR(TRANSPOSE(_xlfn._xlws.FILTER(Lokale!$C$3:$C$91,Lokale!$B$3:$B$91=$A102)),""))</f>
        <v>170 (Glamour)</v>
      </c>
      <c r="N102" s="13" t="str">
        <v>171 (Starter Dworzec)</v>
      </c>
      <c r="O102" s="13" t="str">
        <v>172 (Starter Przyloty)</v>
      </c>
      <c r="P102" s="13" t="str">
        <v>173 (LMDL2)</v>
      </c>
      <c r="Q102" s="13" t="str">
        <v>174 (Zoom NS)</v>
      </c>
      <c r="R102" s="13" t="str">
        <v>175 (Ministore NS)</v>
      </c>
      <c r="S102" s="13" t="str">
        <v>176 (Zoom odloty)</v>
      </c>
      <c r="T102" s="13" t="str">
        <v>177 (Spirit of Poland)</v>
      </c>
      <c r="U102" s="13" t="str">
        <v>178 (Multistore)</v>
      </c>
      <c r="V102" s="13" t="str">
        <v>179 (ZOOM)</v>
      </c>
      <c r="W102" s="13" t="str">
        <v>180 (Starter odloty)</v>
      </c>
      <c r="X102" s="13" t="str">
        <v>181 (Bestseller)</v>
      </c>
      <c r="Y102" s="13" t="str">
        <v>182 (Zoom palarnia)</v>
      </c>
      <c r="Z102" s="13" t="str">
        <v>183 (LMDL)</v>
      </c>
      <c r="AA102" s="13" t="str">
        <v>187 (Zoom NS)</v>
      </c>
      <c r="AB102" s="13" t="str">
        <v>208 (PIZZA)</v>
      </c>
      <c r="AC102" s="13" t="str">
        <v>532 (Magazyn)</v>
      </c>
      <c r="AD102" s="13" t="str">
        <v>Wszystkie lokale</v>
      </c>
      <c r="AJ102" s="13" t="str" cm="1">
        <f t="array" ref="AJ102:BG102">IF($C102="","",IFERROR(TRANSPOSE(_xlfn._xlws.FILTER(Listy!$D$2:$D$60,Listy!$C$2:$C$60=$C102)),""))</f>
        <v>Elektryczny (roczny)</v>
      </c>
      <c r="AK102" s="13" t="str">
        <v>Elektryczny (5-cio letni)</v>
      </c>
      <c r="AL102" s="13" t="str">
        <v>Systemy PPOŻ</v>
      </c>
      <c r="AM102" s="13" t="str">
        <v>Gaśnice</v>
      </c>
      <c r="AN102" s="13" t="str">
        <v>Klimatyzacja</v>
      </c>
      <c r="AO102" s="13" t="str">
        <v>Alarmy</v>
      </c>
      <c r="AP102" s="13" t="str">
        <v>Hydranty</v>
      </c>
      <c r="AQ102" s="13" t="str">
        <v xml:space="preserve">Rolety </v>
      </c>
      <c r="AR102" s="13" t="str">
        <v>Wentylacja</v>
      </c>
      <c r="AS102" s="13" t="str">
        <v>Wymiana filtrów</v>
      </c>
      <c r="AT102" s="13" t="str">
        <v>Regałów magazynowych</v>
      </c>
      <c r="AU102" s="13" t="str">
        <v>CRO</v>
      </c>
      <c r="AV102" s="13" t="str">
        <v>Mroźnia/Chłodnia</v>
      </c>
      <c r="AW102" s="13" t="str">
        <v>Regały chłodnicze</v>
      </c>
      <c r="AX102" s="13" t="str">
        <v>Separatory tłuszczu</v>
      </c>
      <c r="AY102" s="13" t="str">
        <v>Vendingi</v>
      </c>
      <c r="AZ102" s="13" t="str">
        <v>UDT (wózki widłowe, paleciaki)</v>
      </c>
      <c r="BA102" s="13" t="str">
        <v>BHP (drabiny, schodki, podesty)</v>
      </c>
      <c r="BB102" s="12" t="str">
        <v>Ansul</v>
      </c>
      <c r="BC102" s="12" t="str">
        <v>Okap</v>
      </c>
      <c r="BD102" s="12" t="str">
        <v>Brama garażowa</v>
      </c>
      <c r="BE102" s="12" t="str">
        <v>Żaluzje (gastro)</v>
      </c>
      <c r="BF102" s="12" t="str">
        <v>Bramki antykradzieżowe</v>
      </c>
      <c r="BG102" s="12" t="str">
        <v>Mycie jednostek klimatyzacji</v>
      </c>
    </row>
    <row r="103" spans="1:59" ht="25" customHeight="1" x14ac:dyDescent="0.35">
      <c r="A103" s="12" t="s">
        <v>8</v>
      </c>
      <c r="B103" s="12" t="s">
        <v>69</v>
      </c>
      <c r="C103" s="12" t="s">
        <v>93</v>
      </c>
      <c r="D103" s="1" t="s">
        <v>76</v>
      </c>
      <c r="E103" s="15">
        <v>46192</v>
      </c>
      <c r="F103" s="1">
        <v>12</v>
      </c>
      <c r="G103" s="4">
        <f>IF(OR(E103="",F103=""),"",DATE(YEAR(E103),MONTH(E103)+F103,DAY(E103)))</f>
        <v>46557</v>
      </c>
      <c r="H103" s="12" t="str">
        <f ca="1">IF(G103="","",IF(G103&lt;TODAY(),"PO TERMINIE",IF(G103&lt;=TODAY()+14,"DO WYKONANIA","OK")))</f>
        <v>OK</v>
      </c>
      <c r="I103" s="14"/>
      <c r="J103" s="1" t="e">
        <f>IF(COUNTA(A103:F332)=0,"",IF(#REF!="","BRAK PROTOKOŁU","DODANY"))</f>
        <v>#REF!</v>
      </c>
      <c r="K103" s="1"/>
    </row>
    <row r="104" spans="1:59" ht="25" customHeight="1" x14ac:dyDescent="0.35">
      <c r="A104" s="12" t="s">
        <v>8</v>
      </c>
      <c r="B104" s="12" t="s">
        <v>69</v>
      </c>
      <c r="C104" s="12" t="s">
        <v>94</v>
      </c>
      <c r="D104" s="12" t="s">
        <v>80</v>
      </c>
      <c r="F104" s="1">
        <v>1</v>
      </c>
      <c r="G104" s="4" t="str">
        <f t="shared" si="17"/>
        <v/>
      </c>
      <c r="H104" s="12" t="str">
        <f t="shared" ca="1" si="18"/>
        <v/>
      </c>
      <c r="I104" s="14"/>
      <c r="J104" s="1" t="e">
        <f>IF(COUNTA(A104:F310)=0,"",IF(#REF!="","BRAK PROTOKOŁU","DODANY"))</f>
        <v>#REF!</v>
      </c>
      <c r="K104" s="1"/>
      <c r="M104" s="13" t="str" cm="1">
        <f t="array" ref="M104:AD104">IF($A104="","",IFERROR(TRANSPOSE(_xlfn._xlws.FILTER(Lokale!$C$3:$C$91,Lokale!$B$3:$B$91=$A104)),""))</f>
        <v>170 (Glamour)</v>
      </c>
      <c r="N104" s="13" t="str">
        <v>171 (Starter Dworzec)</v>
      </c>
      <c r="O104" s="13" t="str">
        <v>172 (Starter Przyloty)</v>
      </c>
      <c r="P104" s="13" t="str">
        <v>173 (LMDL2)</v>
      </c>
      <c r="Q104" s="13" t="str">
        <v>174 (Zoom NS)</v>
      </c>
      <c r="R104" s="13" t="str">
        <v>175 (Ministore NS)</v>
      </c>
      <c r="S104" s="13" t="str">
        <v>176 (Zoom odloty)</v>
      </c>
      <c r="T104" s="13" t="str">
        <v>177 (Spirit of Poland)</v>
      </c>
      <c r="U104" s="13" t="str">
        <v>178 (Multistore)</v>
      </c>
      <c r="V104" s="13" t="str">
        <v>179 (ZOOM)</v>
      </c>
      <c r="W104" s="13" t="str">
        <v>180 (Starter odloty)</v>
      </c>
      <c r="X104" s="13" t="str">
        <v>181 (Bestseller)</v>
      </c>
      <c r="Y104" s="13" t="str">
        <v>182 (Zoom palarnia)</v>
      </c>
      <c r="Z104" s="13" t="str">
        <v>183 (LMDL)</v>
      </c>
      <c r="AA104" s="13" t="str">
        <v>187 (Zoom NS)</v>
      </c>
      <c r="AB104" s="13" t="str">
        <v>208 (PIZZA)</v>
      </c>
      <c r="AC104" s="13" t="str">
        <v>532 (Magazyn)</v>
      </c>
      <c r="AD104" s="13" t="str">
        <v>Wszystkie lokale</v>
      </c>
      <c r="AJ104" s="13" t="str" cm="1">
        <f t="array" ref="AJ104:AX104">IF($C104="","",IFERROR(TRANSPOSE(_xlfn._xlws.FILTER(Listy!$D$2:$D$60,Listy!$C$2:$C$60=$C104)),""))</f>
        <v>Klamki na kod</v>
      </c>
      <c r="AK104" s="13" t="str">
        <v>Oświetlenie</v>
      </c>
      <c r="AL104" s="13" t="str">
        <v>Drzwi przeciwpożarowe</v>
      </c>
      <c r="AM104" s="13" t="str">
        <v>Drzwi na zaplecze</v>
      </c>
      <c r="AN104" s="13" t="str">
        <v>Systemy multmedialne</v>
      </c>
      <c r="AO104" s="13" t="str">
        <v>Posadzki, wykładziny</v>
      </c>
      <c r="AP104" s="13" t="str">
        <v>Kontrola kurzu</v>
      </c>
      <c r="AQ104" s="13" t="str">
        <v>Light boxy</v>
      </c>
      <c r="AR104" s="13" t="str">
        <v>Floorboxy</v>
      </c>
      <c r="AS104" s="13" t="str">
        <v>Meble</v>
      </c>
      <c r="AT104" s="13" t="str">
        <v>Szyby</v>
      </c>
      <c r="AU104" s="13" t="str">
        <v>Lampy owadobójcze</v>
      </c>
      <c r="AV104" s="13" t="str">
        <v>Samochody</v>
      </c>
      <c r="AW104" s="13" t="str">
        <v>Windy w samochodach</v>
      </c>
      <c r="AX104" s="13" t="str">
        <v>Sprawdzenie pompy odpływowej</v>
      </c>
    </row>
    <row r="105" spans="1:59" ht="25" customHeight="1" x14ac:dyDescent="0.35">
      <c r="A105" s="12" t="s">
        <v>8</v>
      </c>
      <c r="B105" s="12" t="s">
        <v>69</v>
      </c>
      <c r="C105" s="12" t="s">
        <v>93</v>
      </c>
      <c r="D105" s="12" t="s">
        <v>162</v>
      </c>
      <c r="E105" s="15">
        <v>46192</v>
      </c>
      <c r="F105" s="1">
        <v>36</v>
      </c>
      <c r="G105" s="4">
        <f t="shared" ref="G105:G110" si="19">IF(OR(E105="",F105=""),"",DATE(YEAR(E105),MONTH(E105)+F105,DAY(E105)))</f>
        <v>47288</v>
      </c>
      <c r="H105" s="12" t="str">
        <f t="shared" ca="1" si="18"/>
        <v>OK</v>
      </c>
      <c r="I105" s="14"/>
      <c r="J105" s="1" t="e">
        <f>IF(COUNTA(A105:F318)=0,"",IF(#REF!="","BRAK PROTOKOŁU","DODANY"))</f>
        <v>#REF!</v>
      </c>
      <c r="K105" s="1"/>
      <c r="M105" s="13" t="str" cm="1">
        <f t="array" ref="M105:AD105">IF($A105="","",IFERROR(TRANSPOSE(_xlfn._xlws.FILTER(Lokale!$C$3:$C$91,Lokale!$B$3:$B$91=$A105)),""))</f>
        <v>170 (Glamour)</v>
      </c>
      <c r="N105" s="13" t="str">
        <v>171 (Starter Dworzec)</v>
      </c>
      <c r="O105" s="13" t="str">
        <v>172 (Starter Przyloty)</v>
      </c>
      <c r="P105" s="13" t="str">
        <v>173 (LMDL2)</v>
      </c>
      <c r="Q105" s="13" t="str">
        <v>174 (Zoom NS)</v>
      </c>
      <c r="R105" s="13" t="str">
        <v>175 (Ministore NS)</v>
      </c>
      <c r="S105" s="13" t="str">
        <v>176 (Zoom odloty)</v>
      </c>
      <c r="T105" s="13" t="str">
        <v>177 (Spirit of Poland)</v>
      </c>
      <c r="U105" s="13" t="str">
        <v>178 (Multistore)</v>
      </c>
      <c r="V105" s="13" t="str">
        <v>179 (ZOOM)</v>
      </c>
      <c r="W105" s="13" t="str">
        <v>180 (Starter odloty)</v>
      </c>
      <c r="X105" s="13" t="str">
        <v>181 (Bestseller)</v>
      </c>
      <c r="Y105" s="13" t="str">
        <v>182 (Zoom palarnia)</v>
      </c>
      <c r="Z105" s="13" t="str">
        <v>183 (LMDL)</v>
      </c>
      <c r="AA105" s="13" t="str">
        <v>187 (Zoom NS)</v>
      </c>
      <c r="AB105" s="13" t="str">
        <v>208 (PIZZA)</v>
      </c>
      <c r="AC105" s="13" t="str">
        <v>532 (Magazyn)</v>
      </c>
      <c r="AD105" s="13" t="str">
        <v>Wszystkie lokale</v>
      </c>
      <c r="AJ105" s="13" t="str" cm="1">
        <f t="array" ref="AJ105:BG105">IF($C105="","",IFERROR(TRANSPOSE(_xlfn._xlws.FILTER(Listy!$D$2:$D$60,Listy!$C$2:$C$60=$C105)),""))</f>
        <v>Elektryczny (roczny)</v>
      </c>
      <c r="AK105" s="13" t="str">
        <v>Elektryczny (5-cio letni)</v>
      </c>
      <c r="AL105" s="13" t="str">
        <v>Systemy PPOŻ</v>
      </c>
      <c r="AM105" s="13" t="str">
        <v>Gaśnice</v>
      </c>
      <c r="AN105" s="13" t="str">
        <v>Klimatyzacja</v>
      </c>
      <c r="AO105" s="13" t="str">
        <v>Alarmy</v>
      </c>
      <c r="AP105" s="13" t="str">
        <v>Hydranty</v>
      </c>
      <c r="AQ105" s="13" t="str">
        <v xml:space="preserve">Rolety </v>
      </c>
      <c r="AR105" s="13" t="str">
        <v>Wentylacja</v>
      </c>
      <c r="AS105" s="13" t="str">
        <v>Wymiana filtrów</v>
      </c>
      <c r="AT105" s="13" t="str">
        <v>Regałów magazynowych</v>
      </c>
      <c r="AU105" s="13" t="str">
        <v>CRO</v>
      </c>
      <c r="AV105" s="13" t="str">
        <v>Mroźnia/Chłodnia</v>
      </c>
      <c r="AW105" s="13" t="str">
        <v>Regały chłodnicze</v>
      </c>
      <c r="AX105" s="13" t="str">
        <v>Separatory tłuszczu</v>
      </c>
      <c r="AY105" s="13" t="str">
        <v>Vendingi</v>
      </c>
      <c r="AZ105" s="13" t="str">
        <v>UDT (wózki widłowe, paleciaki)</v>
      </c>
      <c r="BA105" s="13" t="str">
        <v>BHP (drabiny, schodki, podesty)</v>
      </c>
      <c r="BB105" s="12" t="str">
        <v>Ansul</v>
      </c>
      <c r="BC105" s="12" t="str">
        <v>Okap</v>
      </c>
      <c r="BD105" s="12" t="str">
        <v>Brama garażowa</v>
      </c>
      <c r="BE105" s="12" t="str">
        <v>Żaluzje (gastro)</v>
      </c>
      <c r="BF105" s="12" t="str">
        <v>Bramki antykradzieżowe</v>
      </c>
      <c r="BG105" s="12" t="str">
        <v>Mycie jednostek klimatyzacji</v>
      </c>
    </row>
    <row r="106" spans="1:59" ht="25" customHeight="1" x14ac:dyDescent="0.35">
      <c r="A106" s="12" t="s">
        <v>8</v>
      </c>
      <c r="B106" s="1" t="s">
        <v>46</v>
      </c>
      <c r="C106" s="12" t="s">
        <v>93</v>
      </c>
      <c r="D106" s="1" t="s">
        <v>22</v>
      </c>
      <c r="E106" s="15">
        <v>46201</v>
      </c>
      <c r="F106" s="1">
        <v>3</v>
      </c>
      <c r="G106" s="4">
        <f t="shared" ref="G106:G108" si="20">IF(OR(E106="",F106=""),"",DATE(YEAR(E106),MONTH(E106)+F106,DAY(E106)))</f>
        <v>46293</v>
      </c>
      <c r="H106" s="12" t="str">
        <f t="shared" ref="H106:H108" ca="1" si="21">IF(G106="","",IF(G106&lt;TODAY(),"PO TERMINIE",IF(G106&lt;=TODAY()+14,"DO WYKONANIA","OK")))</f>
        <v>OK</v>
      </c>
      <c r="I106" s="14"/>
      <c r="J106" s="1" t="str">
        <f t="shared" ref="J106:J108" si="22">IF(COUNTA(A106:F106)=0,"",IF(I106="","BRAK PROTOKOŁU","DODANY"))</f>
        <v>BRAK PROTOKOŁU</v>
      </c>
      <c r="K106" s="1"/>
      <c r="M106" s="13" t="str" cm="1">
        <f t="array" ref="M106:AD106">IF($A106="","",IFERROR(TRANSPOSE(_xlfn._xlws.FILTER(Lokale!$C$3:$C$91,Lokale!$B$3:$B$91=$A106)),""))</f>
        <v>170 (Glamour)</v>
      </c>
      <c r="N106" s="13" t="str">
        <v>171 (Starter Dworzec)</v>
      </c>
      <c r="O106" s="13" t="str">
        <v>172 (Starter Przyloty)</v>
      </c>
      <c r="P106" s="13" t="str">
        <v>173 (LMDL2)</v>
      </c>
      <c r="Q106" s="13" t="str">
        <v>174 (Zoom NS)</v>
      </c>
      <c r="R106" s="13" t="str">
        <v>175 (Ministore NS)</v>
      </c>
      <c r="S106" s="13" t="str">
        <v>176 (Zoom odloty)</v>
      </c>
      <c r="T106" s="13" t="str">
        <v>177 (Spirit of Poland)</v>
      </c>
      <c r="U106" s="13" t="str">
        <v>178 (Multistore)</v>
      </c>
      <c r="V106" s="13" t="str">
        <v>179 (ZOOM)</v>
      </c>
      <c r="W106" s="13" t="str">
        <v>180 (Starter odloty)</v>
      </c>
      <c r="X106" s="13" t="str">
        <v>181 (Bestseller)</v>
      </c>
      <c r="Y106" s="13" t="str">
        <v>182 (Zoom palarnia)</v>
      </c>
      <c r="Z106" s="13" t="str">
        <v>183 (LMDL)</v>
      </c>
      <c r="AA106" s="13" t="str">
        <v>187 (Zoom NS)</v>
      </c>
      <c r="AB106" s="13" t="str">
        <v>208 (PIZZA)</v>
      </c>
      <c r="AC106" s="13" t="str">
        <v>532 (Magazyn)</v>
      </c>
      <c r="AD106" s="13" t="str">
        <v>Wszystkie lokale</v>
      </c>
      <c r="AJ106" s="13" t="str" cm="1">
        <f t="array" ref="AJ106:BG106">IF($C106="","",IFERROR(TRANSPOSE(_xlfn._xlws.FILTER(Listy!$D$2:$D$60,Listy!$C$2:$C$60=$C106)),""))</f>
        <v>Elektryczny (roczny)</v>
      </c>
      <c r="AK106" s="13" t="str">
        <v>Elektryczny (5-cio letni)</v>
      </c>
      <c r="AL106" s="13" t="str">
        <v>Systemy PPOŻ</v>
      </c>
      <c r="AM106" s="13" t="str">
        <v>Gaśnice</v>
      </c>
      <c r="AN106" s="13" t="str">
        <v>Klimatyzacja</v>
      </c>
      <c r="AO106" s="13" t="str">
        <v>Alarmy</v>
      </c>
      <c r="AP106" s="13" t="str">
        <v>Hydranty</v>
      </c>
      <c r="AQ106" s="13" t="str">
        <v xml:space="preserve">Rolety </v>
      </c>
      <c r="AR106" s="13" t="str">
        <v>Wentylacja</v>
      </c>
      <c r="AS106" s="13" t="str">
        <v>Wymiana filtrów</v>
      </c>
      <c r="AT106" s="13" t="str">
        <v>Regałów magazynowych</v>
      </c>
      <c r="AU106" s="13" t="str">
        <v>CRO</v>
      </c>
      <c r="AV106" s="13" t="str">
        <v>Mroźnia/Chłodnia</v>
      </c>
      <c r="AW106" s="13" t="str">
        <v>Regały chłodnicze</v>
      </c>
      <c r="AX106" s="13" t="str">
        <v>Separatory tłuszczu</v>
      </c>
      <c r="AY106" s="13" t="str">
        <v>Vendingi</v>
      </c>
      <c r="AZ106" s="13" t="str">
        <v>UDT (wózki widłowe, paleciaki)</v>
      </c>
      <c r="BA106" s="13" t="str">
        <v>BHP (drabiny, schodki, podesty)</v>
      </c>
      <c r="BB106" s="13" t="str">
        <v>Ansul</v>
      </c>
      <c r="BC106" s="13" t="str">
        <v>Okap</v>
      </c>
      <c r="BD106" s="13" t="str">
        <v>Brama garażowa</v>
      </c>
      <c r="BE106" s="13" t="str">
        <v>Żaluzje (gastro)</v>
      </c>
      <c r="BF106" s="13" t="str">
        <v>Bramki antykradzieżowe</v>
      </c>
      <c r="BG106" s="12" t="str">
        <v>Mycie jednostek klimatyzacji</v>
      </c>
    </row>
    <row r="107" spans="1:59" ht="25" customHeight="1" x14ac:dyDescent="0.35">
      <c r="A107" s="12" t="s">
        <v>8</v>
      </c>
      <c r="B107" s="1" t="s">
        <v>46</v>
      </c>
      <c r="C107" s="12" t="s">
        <v>93</v>
      </c>
      <c r="D107" s="1" t="s">
        <v>105</v>
      </c>
      <c r="E107" s="47"/>
      <c r="F107" s="1"/>
      <c r="G107" s="4" t="str">
        <f t="shared" si="20"/>
        <v/>
      </c>
      <c r="H107" s="12" t="str">
        <f t="shared" ca="1" si="21"/>
        <v/>
      </c>
      <c r="I107" s="14"/>
      <c r="J107" s="1" t="str">
        <f t="shared" si="22"/>
        <v>BRAK PROTOKOŁU</v>
      </c>
      <c r="K107" s="1"/>
      <c r="M107" s="13" t="str" cm="1">
        <f t="array" ref="M107:AD107">IF($A107="","",IFERROR(TRANSPOSE(_xlfn._xlws.FILTER(Lokale!$C$3:$C$91,Lokale!$B$3:$B$91=$A107)),""))</f>
        <v>170 (Glamour)</v>
      </c>
      <c r="N107" s="13" t="str">
        <v>171 (Starter Dworzec)</v>
      </c>
      <c r="O107" s="13" t="str">
        <v>172 (Starter Przyloty)</v>
      </c>
      <c r="P107" s="13" t="str">
        <v>173 (LMDL2)</v>
      </c>
      <c r="Q107" s="13" t="str">
        <v>174 (Zoom NS)</v>
      </c>
      <c r="R107" s="13" t="str">
        <v>175 (Ministore NS)</v>
      </c>
      <c r="S107" s="13" t="str">
        <v>176 (Zoom odloty)</v>
      </c>
      <c r="T107" s="13" t="str">
        <v>177 (Spirit of Poland)</v>
      </c>
      <c r="U107" s="13" t="str">
        <v>178 (Multistore)</v>
      </c>
      <c r="V107" s="13" t="str">
        <v>179 (ZOOM)</v>
      </c>
      <c r="W107" s="13" t="str">
        <v>180 (Starter odloty)</v>
      </c>
      <c r="X107" s="13" t="str">
        <v>181 (Bestseller)</v>
      </c>
      <c r="Y107" s="13" t="str">
        <v>182 (Zoom palarnia)</v>
      </c>
      <c r="Z107" s="13" t="str">
        <v>183 (LMDL)</v>
      </c>
      <c r="AA107" s="13" t="str">
        <v>187 (Zoom NS)</v>
      </c>
      <c r="AB107" s="13" t="str">
        <v>208 (PIZZA)</v>
      </c>
      <c r="AC107" s="13" t="str">
        <v>532 (Magazyn)</v>
      </c>
      <c r="AD107" s="13" t="str">
        <v>Wszystkie lokale</v>
      </c>
      <c r="AJ107" s="13" t="str" cm="1">
        <f t="array" ref="AJ107:BG107">IF($C107="","",IFERROR(TRANSPOSE(_xlfn._xlws.FILTER(Listy!$D$2:$D$60,Listy!$C$2:$C$60=$C107)),""))</f>
        <v>Elektryczny (roczny)</v>
      </c>
      <c r="AK107" s="13" t="str">
        <v>Elektryczny (5-cio letni)</v>
      </c>
      <c r="AL107" s="13" t="str">
        <v>Systemy PPOŻ</v>
      </c>
      <c r="AM107" s="13" t="str">
        <v>Gaśnice</v>
      </c>
      <c r="AN107" s="13" t="str">
        <v>Klimatyzacja</v>
      </c>
      <c r="AO107" s="13" t="str">
        <v>Alarmy</v>
      </c>
      <c r="AP107" s="13" t="str">
        <v>Hydranty</v>
      </c>
      <c r="AQ107" s="13" t="str">
        <v xml:space="preserve">Rolety </v>
      </c>
      <c r="AR107" s="13" t="str">
        <v>Wentylacja</v>
      </c>
      <c r="AS107" s="13" t="str">
        <v>Wymiana filtrów</v>
      </c>
      <c r="AT107" s="13" t="str">
        <v>Regałów magazynowych</v>
      </c>
      <c r="AU107" s="13" t="str">
        <v>CRO</v>
      </c>
      <c r="AV107" s="13" t="str">
        <v>Mroźnia/Chłodnia</v>
      </c>
      <c r="AW107" s="13" t="str">
        <v>Regały chłodnicze</v>
      </c>
      <c r="AX107" s="13" t="str">
        <v>Separatory tłuszczu</v>
      </c>
      <c r="AY107" s="13" t="str">
        <v>Vendingi</v>
      </c>
      <c r="AZ107" s="13" t="str">
        <v>UDT (wózki widłowe, paleciaki)</v>
      </c>
      <c r="BA107" s="13" t="str">
        <v>BHP (drabiny, schodki, podesty)</v>
      </c>
      <c r="BB107" s="13" t="str">
        <v>Ansul</v>
      </c>
      <c r="BC107" s="13" t="str">
        <v>Okap</v>
      </c>
      <c r="BD107" s="13" t="str">
        <v>Brama garażowa</v>
      </c>
      <c r="BE107" s="13" t="str">
        <v>Żaluzje (gastro)</v>
      </c>
      <c r="BF107" s="13" t="str">
        <v>Bramki antykradzieżowe</v>
      </c>
      <c r="BG107" s="12" t="str">
        <v>Mycie jednostek klimatyzacji</v>
      </c>
    </row>
    <row r="108" spans="1:59" ht="25" customHeight="1" x14ac:dyDescent="0.35">
      <c r="A108" s="12" t="s">
        <v>8</v>
      </c>
      <c r="B108" s="1" t="s">
        <v>46</v>
      </c>
      <c r="C108" s="12" t="s">
        <v>93</v>
      </c>
      <c r="D108" s="1" t="s">
        <v>77</v>
      </c>
      <c r="E108" s="47">
        <v>45861</v>
      </c>
      <c r="F108" s="1">
        <v>12</v>
      </c>
      <c r="G108" s="4">
        <f t="shared" si="20"/>
        <v>46226</v>
      </c>
      <c r="H108" s="12" t="str">
        <f t="shared" ca="1" si="21"/>
        <v>PO TERMINIE</v>
      </c>
      <c r="I108" s="14"/>
      <c r="J108" s="1" t="str">
        <f t="shared" si="22"/>
        <v>BRAK PROTOKOŁU</v>
      </c>
      <c r="K108" s="1"/>
      <c r="M108" s="13" t="str" cm="1">
        <f t="array" ref="M108:AD108">IF($A108="","",IFERROR(TRANSPOSE(_xlfn._xlws.FILTER(Lokale!$C$3:$C$91,Lokale!$B$3:$B$91=$A108)),""))</f>
        <v>170 (Glamour)</v>
      </c>
      <c r="N108" s="13" t="str">
        <v>171 (Starter Dworzec)</v>
      </c>
      <c r="O108" s="13" t="str">
        <v>172 (Starter Przyloty)</v>
      </c>
      <c r="P108" s="13" t="str">
        <v>173 (LMDL2)</v>
      </c>
      <c r="Q108" s="13" t="str">
        <v>174 (Zoom NS)</v>
      </c>
      <c r="R108" s="13" t="str">
        <v>175 (Ministore NS)</v>
      </c>
      <c r="S108" s="13" t="str">
        <v>176 (Zoom odloty)</v>
      </c>
      <c r="T108" s="13" t="str">
        <v>177 (Spirit of Poland)</v>
      </c>
      <c r="U108" s="13" t="str">
        <v>178 (Multistore)</v>
      </c>
      <c r="V108" s="13" t="str">
        <v>179 (ZOOM)</v>
      </c>
      <c r="W108" s="13" t="str">
        <v>180 (Starter odloty)</v>
      </c>
      <c r="X108" s="13" t="str">
        <v>181 (Bestseller)</v>
      </c>
      <c r="Y108" s="13" t="str">
        <v>182 (Zoom palarnia)</v>
      </c>
      <c r="Z108" s="13" t="str">
        <v>183 (LMDL)</v>
      </c>
      <c r="AA108" s="13" t="str">
        <v>187 (Zoom NS)</v>
      </c>
      <c r="AB108" s="13" t="str">
        <v>208 (PIZZA)</v>
      </c>
      <c r="AC108" s="13" t="str">
        <v>532 (Magazyn)</v>
      </c>
      <c r="AD108" s="13" t="str">
        <v>Wszystkie lokale</v>
      </c>
      <c r="AJ108" s="13" t="str" cm="1">
        <f t="array" ref="AJ108:BG108">IF($C108="","",IFERROR(TRANSPOSE(_xlfn._xlws.FILTER(Listy!$D$2:$D$60,Listy!$C$2:$C$60=$C108)),""))</f>
        <v>Elektryczny (roczny)</v>
      </c>
      <c r="AK108" s="13" t="str">
        <v>Elektryczny (5-cio letni)</v>
      </c>
      <c r="AL108" s="13" t="str">
        <v>Systemy PPOŻ</v>
      </c>
      <c r="AM108" s="13" t="str">
        <v>Gaśnice</v>
      </c>
      <c r="AN108" s="13" t="str">
        <v>Klimatyzacja</v>
      </c>
      <c r="AO108" s="13" t="str">
        <v>Alarmy</v>
      </c>
      <c r="AP108" s="13" t="str">
        <v>Hydranty</v>
      </c>
      <c r="AQ108" s="13" t="str">
        <v xml:space="preserve">Rolety </v>
      </c>
      <c r="AR108" s="13" t="str">
        <v>Wentylacja</v>
      </c>
      <c r="AS108" s="13" t="str">
        <v>Wymiana filtrów</v>
      </c>
      <c r="AT108" s="13" t="str">
        <v>Regałów magazynowych</v>
      </c>
      <c r="AU108" s="13" t="str">
        <v>CRO</v>
      </c>
      <c r="AV108" s="13" t="str">
        <v>Mroźnia/Chłodnia</v>
      </c>
      <c r="AW108" s="13" t="str">
        <v>Regały chłodnicze</v>
      </c>
      <c r="AX108" s="13" t="str">
        <v>Separatory tłuszczu</v>
      </c>
      <c r="AY108" s="13" t="str">
        <v>Vendingi</v>
      </c>
      <c r="AZ108" s="13" t="str">
        <v>UDT (wózki widłowe, paleciaki)</v>
      </c>
      <c r="BA108" s="13" t="str">
        <v>BHP (drabiny, schodki, podesty)</v>
      </c>
      <c r="BB108" s="13" t="str">
        <v>Ansul</v>
      </c>
      <c r="BC108" s="13" t="str">
        <v>Okap</v>
      </c>
      <c r="BD108" s="13" t="str">
        <v>Brama garażowa</v>
      </c>
      <c r="BE108" s="13" t="str">
        <v>Żaluzje (gastro)</v>
      </c>
      <c r="BF108" s="13" t="str">
        <v>Bramki antykradzieżowe</v>
      </c>
      <c r="BG108" s="12" t="str">
        <v>Mycie jednostek klimatyzacji</v>
      </c>
    </row>
    <row r="109" spans="1:59" ht="25" customHeight="1" x14ac:dyDescent="0.35">
      <c r="A109" s="12" t="s">
        <v>8</v>
      </c>
      <c r="B109" s="12" t="s">
        <v>47</v>
      </c>
      <c r="C109" s="12" t="s">
        <v>93</v>
      </c>
      <c r="D109" s="12" t="s">
        <v>162</v>
      </c>
      <c r="E109" s="15">
        <v>46203</v>
      </c>
      <c r="F109" s="1">
        <v>3</v>
      </c>
      <c r="G109" s="4">
        <f>IF(OR(E109="",F109=""),"",DATE(YEAR(E109),MONTH(E109)+F109,DAY(E109)))</f>
        <v>46295</v>
      </c>
      <c r="H109" s="12" t="str">
        <f ca="1">IF(G109="","",IF(G109&lt;TODAY(),"PO TERMINIE",IF(G109&lt;=TODAY()+14,"DO WYKONANIA","OK")))</f>
        <v>OK</v>
      </c>
      <c r="I109" s="14"/>
      <c r="J109" s="1" t="e">
        <f>IF(COUNTA(A109:F369)=0,"",IF(#REF!="","BRAK PROTOKOŁU","DODANY"))</f>
        <v>#REF!</v>
      </c>
      <c r="K109" s="1"/>
      <c r="AJ109" s="13" t="str" cm="1">
        <f t="array" ref="AJ109:BG109">IF($C109="","",IFERROR(TRANSPOSE(_xlfn._xlws.FILTER(Listy!$D$2:$D$60,Listy!$C$2:$C$60=$C109)),""))</f>
        <v>Elektryczny (roczny)</v>
      </c>
      <c r="AK109" s="13" t="str">
        <v>Elektryczny (5-cio letni)</v>
      </c>
      <c r="AL109" s="13" t="str">
        <v>Systemy PPOŻ</v>
      </c>
      <c r="AM109" s="13" t="str">
        <v>Gaśnice</v>
      </c>
      <c r="AN109" s="13" t="str">
        <v>Klimatyzacja</v>
      </c>
      <c r="AO109" s="13" t="str">
        <v>Alarmy</v>
      </c>
      <c r="AP109" s="13" t="str">
        <v>Hydranty</v>
      </c>
      <c r="AQ109" s="13" t="str">
        <v xml:space="preserve">Rolety </v>
      </c>
      <c r="AR109" s="13" t="str">
        <v>Wentylacja</v>
      </c>
      <c r="AS109" s="13" t="str">
        <v>Wymiana filtrów</v>
      </c>
      <c r="AT109" s="13" t="str">
        <v>Regałów magazynowych</v>
      </c>
      <c r="AU109" s="13" t="str">
        <v>CRO</v>
      </c>
      <c r="AV109" s="13" t="str">
        <v>Mroźnia/Chłodnia</v>
      </c>
      <c r="AW109" s="13" t="str">
        <v>Regały chłodnicze</v>
      </c>
      <c r="AX109" s="13" t="str">
        <v>Separatory tłuszczu</v>
      </c>
      <c r="AY109" s="13" t="str">
        <v>Vendingi</v>
      </c>
      <c r="AZ109" s="13" t="str">
        <v>UDT (wózki widłowe, paleciaki)</v>
      </c>
      <c r="BA109" s="13" t="str">
        <v>BHP (drabiny, schodki, podesty)</v>
      </c>
      <c r="BB109" s="12" t="str">
        <v>Ansul</v>
      </c>
      <c r="BC109" s="12" t="str">
        <v>Okap</v>
      </c>
      <c r="BD109" s="12" t="str">
        <v>Brama garażowa</v>
      </c>
      <c r="BE109" s="12" t="str">
        <v>Żaluzje (gastro)</v>
      </c>
      <c r="BF109" s="12" t="str">
        <v>Bramki antykradzieżowe</v>
      </c>
      <c r="BG109" s="12" t="str">
        <v>Mycie jednostek klimatyzacji</v>
      </c>
    </row>
    <row r="110" spans="1:59" ht="25" customHeight="1" x14ac:dyDescent="0.35">
      <c r="A110" s="12" t="s">
        <v>8</v>
      </c>
      <c r="B110" s="12" t="s">
        <v>70</v>
      </c>
      <c r="C110" s="12" t="s">
        <v>93</v>
      </c>
      <c r="D110" s="12" t="s">
        <v>22</v>
      </c>
      <c r="E110" s="15">
        <v>46176</v>
      </c>
      <c r="F110" s="1">
        <v>3</v>
      </c>
      <c r="G110" s="4">
        <f t="shared" si="19"/>
        <v>46268</v>
      </c>
      <c r="H110" s="12" t="str">
        <f t="shared" ref="H110" ca="1" si="23">IF(G110="","",IF(G110&lt;TODAY(),"PO TERMINIE",IF(G110&lt;=TODAY()+14,"DO WYKONANIA","OK")))</f>
        <v>OK</v>
      </c>
      <c r="I110" s="14"/>
      <c r="J110" s="1" t="e">
        <f>IF(COUNTA(A110:F345)=0,"",IF(#REF!="","BRAK PROTOKOŁU","DODANY"))</f>
        <v>#REF!</v>
      </c>
      <c r="K110" s="1"/>
      <c r="M110" s="13" t="str" cm="1">
        <f t="array" ref="M110:AD110">IF($A110="","",IFERROR(TRANSPOSE(_xlfn._xlws.FILTER(Lokale!$C$3:$C$91,Lokale!$B$3:$B$91=$A110)),""))</f>
        <v>170 (Glamour)</v>
      </c>
      <c r="N110" s="13" t="str">
        <v>171 (Starter Dworzec)</v>
      </c>
      <c r="O110" s="13" t="str">
        <v>172 (Starter Przyloty)</v>
      </c>
      <c r="P110" s="13" t="str">
        <v>173 (LMDL2)</v>
      </c>
      <c r="Q110" s="13" t="str">
        <v>174 (Zoom NS)</v>
      </c>
      <c r="R110" s="13" t="str">
        <v>175 (Ministore NS)</v>
      </c>
      <c r="S110" s="13" t="str">
        <v>176 (Zoom odloty)</v>
      </c>
      <c r="T110" s="13" t="str">
        <v>177 (Spirit of Poland)</v>
      </c>
      <c r="U110" s="13" t="str">
        <v>178 (Multistore)</v>
      </c>
      <c r="V110" s="13" t="str">
        <v>179 (ZOOM)</v>
      </c>
      <c r="W110" s="13" t="str">
        <v>180 (Starter odloty)</v>
      </c>
      <c r="X110" s="13" t="str">
        <v>181 (Bestseller)</v>
      </c>
      <c r="Y110" s="13" t="str">
        <v>182 (Zoom palarnia)</v>
      </c>
      <c r="Z110" s="13" t="str">
        <v>183 (LMDL)</v>
      </c>
      <c r="AA110" s="13" t="str">
        <v>187 (Zoom NS)</v>
      </c>
      <c r="AB110" s="13" t="str">
        <v>208 (PIZZA)</v>
      </c>
      <c r="AC110" s="13" t="str">
        <v>532 (Magazyn)</v>
      </c>
      <c r="AD110" s="13" t="str">
        <v>Wszystkie lokale</v>
      </c>
      <c r="AJ110" s="13" t="str" cm="1">
        <f t="array" ref="AJ110:BG110">IF($C110="","",IFERROR(TRANSPOSE(_xlfn._xlws.FILTER(Listy!$D$2:$D$60,Listy!$C$2:$C$60=$C110)),""))</f>
        <v>Elektryczny (roczny)</v>
      </c>
      <c r="AK110" s="13" t="str">
        <v>Elektryczny (5-cio letni)</v>
      </c>
      <c r="AL110" s="13" t="str">
        <v>Systemy PPOŻ</v>
      </c>
      <c r="AM110" s="13" t="str">
        <v>Gaśnice</v>
      </c>
      <c r="AN110" s="13" t="str">
        <v>Klimatyzacja</v>
      </c>
      <c r="AO110" s="13" t="str">
        <v>Alarmy</v>
      </c>
      <c r="AP110" s="13" t="str">
        <v>Hydranty</v>
      </c>
      <c r="AQ110" s="13" t="str">
        <v xml:space="preserve">Rolety </v>
      </c>
      <c r="AR110" s="13" t="str">
        <v>Wentylacja</v>
      </c>
      <c r="AS110" s="13" t="str">
        <v>Wymiana filtrów</v>
      </c>
      <c r="AT110" s="13" t="str">
        <v>Regałów magazynowych</v>
      </c>
      <c r="AU110" s="13" t="str">
        <v>CRO</v>
      </c>
      <c r="AV110" s="13" t="str">
        <v>Mroźnia/Chłodnia</v>
      </c>
      <c r="AW110" s="13" t="str">
        <v>Regały chłodnicze</v>
      </c>
      <c r="AX110" s="13" t="str">
        <v>Separatory tłuszczu</v>
      </c>
      <c r="AY110" s="13" t="str">
        <v>Vendingi</v>
      </c>
      <c r="AZ110" s="13" t="str">
        <v>UDT (wózki widłowe, paleciaki)</v>
      </c>
      <c r="BA110" s="13" t="str">
        <v>BHP (drabiny, schodki, podesty)</v>
      </c>
      <c r="BB110" s="12" t="str">
        <v>Ansul</v>
      </c>
      <c r="BC110" s="12" t="str">
        <v>Okap</v>
      </c>
      <c r="BD110" s="12" t="str">
        <v>Brama garażowa</v>
      </c>
      <c r="BE110" s="12" t="str">
        <v>Żaluzje (gastro)</v>
      </c>
      <c r="BF110" s="12" t="str">
        <v>Bramki antykradzieżowe</v>
      </c>
      <c r="BG110" s="12" t="str">
        <v>Mycie jednostek klimatyzacji</v>
      </c>
    </row>
    <row r="111" spans="1:59" ht="25" customHeight="1" x14ac:dyDescent="0.35">
      <c r="A111" s="12" t="s">
        <v>8</v>
      </c>
      <c r="B111" s="12" t="s">
        <v>64</v>
      </c>
      <c r="C111" s="12" t="s">
        <v>93</v>
      </c>
      <c r="D111" s="12" t="s">
        <v>22</v>
      </c>
      <c r="E111" s="15">
        <v>46058</v>
      </c>
      <c r="F111" s="1"/>
      <c r="G111" s="4" t="str">
        <f t="shared" ref="G111" si="24">IF(OR(E111="",F111=""),"",DATE(YEAR(E111),MONTH(E111)+F111,DAY(E111)))</f>
        <v/>
      </c>
      <c r="H111" s="12" t="str">
        <f t="shared" ref="H111" ca="1" si="25">IF(G111="","",IF(G111&lt;TODAY(),"PO TERMINIE",IF(G111&lt;=TODAY()+14,"DO WYKONANIA","OK")))</f>
        <v/>
      </c>
      <c r="I111" s="14"/>
      <c r="J111" s="1" t="e">
        <f>IF(COUNTA(A111:F415)=0,"",IF(#REF!="","BRAK PROTOKOŁU","DODANY"))</f>
        <v>#REF!</v>
      </c>
      <c r="K111" s="1"/>
      <c r="M111" s="13" t="str" cm="1">
        <f t="array" ref="M111:AD111">IF($A111="","",IFERROR(TRANSPOSE(_xlfn._xlws.FILTER(Lokale!$C$3:$C$91,Lokale!$B$3:$B$91=$A111)),""))</f>
        <v>170 (Glamour)</v>
      </c>
      <c r="N111" s="13" t="str">
        <v>171 (Starter Dworzec)</v>
      </c>
      <c r="O111" s="13" t="str">
        <v>172 (Starter Przyloty)</v>
      </c>
      <c r="P111" s="13" t="str">
        <v>173 (LMDL2)</v>
      </c>
      <c r="Q111" s="13" t="str">
        <v>174 (Zoom NS)</v>
      </c>
      <c r="R111" s="13" t="str">
        <v>175 (Ministore NS)</v>
      </c>
      <c r="S111" s="13" t="str">
        <v>176 (Zoom odloty)</v>
      </c>
      <c r="T111" s="13" t="str">
        <v>177 (Spirit of Poland)</v>
      </c>
      <c r="U111" s="13" t="str">
        <v>178 (Multistore)</v>
      </c>
      <c r="V111" s="13" t="str">
        <v>179 (ZOOM)</v>
      </c>
      <c r="W111" s="13" t="str">
        <v>180 (Starter odloty)</v>
      </c>
      <c r="X111" s="13" t="str">
        <v>181 (Bestseller)</v>
      </c>
      <c r="Y111" s="13" t="str">
        <v>182 (Zoom palarnia)</v>
      </c>
      <c r="Z111" s="13" t="str">
        <v>183 (LMDL)</v>
      </c>
      <c r="AA111" s="13" t="str">
        <v>187 (Zoom NS)</v>
      </c>
      <c r="AB111" s="13" t="str">
        <v>208 (PIZZA)</v>
      </c>
      <c r="AC111" s="13" t="str">
        <v>532 (Magazyn)</v>
      </c>
      <c r="AD111" s="13" t="str">
        <v>Wszystkie lokale</v>
      </c>
      <c r="AJ111" s="13" t="str" cm="1">
        <f t="array" ref="AJ111:BG111">IF($C111="","",IFERROR(TRANSPOSE(_xlfn._xlws.FILTER(Listy!$D$2:$D$60,Listy!$C$2:$C$60=$C111)),""))</f>
        <v>Elektryczny (roczny)</v>
      </c>
      <c r="AK111" s="13" t="str">
        <v>Elektryczny (5-cio letni)</v>
      </c>
      <c r="AL111" s="13" t="str">
        <v>Systemy PPOŻ</v>
      </c>
      <c r="AM111" s="13" t="str">
        <v>Gaśnice</v>
      </c>
      <c r="AN111" s="13" t="str">
        <v>Klimatyzacja</v>
      </c>
      <c r="AO111" s="13" t="str">
        <v>Alarmy</v>
      </c>
      <c r="AP111" s="13" t="str">
        <v>Hydranty</v>
      </c>
      <c r="AQ111" s="13" t="str">
        <v xml:space="preserve">Rolety </v>
      </c>
      <c r="AR111" s="13" t="str">
        <v>Wentylacja</v>
      </c>
      <c r="AS111" s="13" t="str">
        <v>Wymiana filtrów</v>
      </c>
      <c r="AT111" s="13" t="str">
        <v>Regałów magazynowych</v>
      </c>
      <c r="AU111" s="13" t="str">
        <v>CRO</v>
      </c>
      <c r="AV111" s="13" t="str">
        <v>Mroźnia/Chłodnia</v>
      </c>
      <c r="AW111" s="13" t="str">
        <v>Regały chłodnicze</v>
      </c>
      <c r="AX111" s="13" t="str">
        <v>Separatory tłuszczu</v>
      </c>
      <c r="AY111" s="13" t="str">
        <v>Vendingi</v>
      </c>
      <c r="AZ111" s="13" t="str">
        <v>UDT (wózki widłowe, paleciaki)</v>
      </c>
      <c r="BA111" s="13" t="str">
        <v>BHP (drabiny, schodki, podesty)</v>
      </c>
      <c r="BB111" s="12" t="str">
        <v>Ansul</v>
      </c>
      <c r="BC111" s="12" t="str">
        <v>Okap</v>
      </c>
      <c r="BD111" s="12" t="str">
        <v>Brama garażowa</v>
      </c>
      <c r="BE111" s="12" t="str">
        <v>Żaluzje (gastro)</v>
      </c>
      <c r="BF111" s="12" t="str">
        <v>Bramki antykradzieżowe</v>
      </c>
      <c r="BG111" s="12" t="str">
        <v>Mycie jednostek klimatyzacji</v>
      </c>
    </row>
    <row r="112" spans="1:59" ht="25" customHeight="1" x14ac:dyDescent="0.35">
      <c r="A112" s="12" t="s">
        <v>7</v>
      </c>
      <c r="B112" s="12" t="s">
        <v>38</v>
      </c>
      <c r="C112" s="12" t="s">
        <v>93</v>
      </c>
      <c r="D112" s="12" t="s">
        <v>22</v>
      </c>
      <c r="E112" s="15">
        <v>46141</v>
      </c>
      <c r="F112" s="1">
        <v>3</v>
      </c>
      <c r="G112" s="4">
        <f t="shared" ref="G112:G113" si="26">IF(OR(E112="",F112=""),"",DATE(YEAR(E112),MONTH(E112)+F112,DAY(E112)))</f>
        <v>46232</v>
      </c>
      <c r="H112" s="12" t="str">
        <f t="shared" ref="H112:H114" ca="1" si="27">IF(G112="","",IF(G112&lt;TODAY(),"PO TERMINIE",IF(G112&lt;=TODAY()+14,"DO WYKONANIA","OK")))</f>
        <v>DO WYKONANIA</v>
      </c>
      <c r="I112" s="14"/>
      <c r="J112" s="1" t="e">
        <f>IF(COUNTA(A112:F472)=0,"",IF(#REF!="","BRAK PROTOKOŁU","DODANY"))</f>
        <v>#REF!</v>
      </c>
      <c r="K112" s="1"/>
      <c r="M112" s="13" t="str" cm="1">
        <f t="array" ref="M112:T112">IF($A112="","",IFERROR(TRANSPOSE(_xlfn._xlws.FILTER(Lokale!$C$3:$C$91,Lokale!$B$3:$B$91=$A112)),""))</f>
        <v>B03 (Multistore)</v>
      </c>
      <c r="N112" s="13" t="str">
        <v>B05 (ZOOM)</v>
      </c>
      <c r="O112" s="13" t="str">
        <v>B06 (Beauty)</v>
      </c>
      <c r="P112" s="13" t="str">
        <v>B07 (Wyspa)</v>
      </c>
      <c r="Q112" s="13" t="str">
        <v>B08 (Crew Shop)</v>
      </c>
      <c r="R112" s="13" t="str">
        <v>B04 (Spirit)</v>
      </c>
      <c r="S112" s="13" t="str">
        <v>B09 (Magazyn)</v>
      </c>
      <c r="T112" s="13" t="str">
        <v>Wszystkie lokale</v>
      </c>
      <c r="AJ112" s="13" t="str" cm="1">
        <f t="array" ref="AJ112:BG112">IF($C112="","",IFERROR(TRANSPOSE(_xlfn._xlws.FILTER(Listy!$D$2:$D$60,Listy!$C$2:$C$60=$C112)),""))</f>
        <v>Elektryczny (roczny)</v>
      </c>
      <c r="AK112" s="13" t="str">
        <v>Elektryczny (5-cio letni)</v>
      </c>
      <c r="AL112" s="13" t="str">
        <v>Systemy PPOŻ</v>
      </c>
      <c r="AM112" s="13" t="str">
        <v>Gaśnice</v>
      </c>
      <c r="AN112" s="13" t="str">
        <v>Klimatyzacja</v>
      </c>
      <c r="AO112" s="13" t="str">
        <v>Alarmy</v>
      </c>
      <c r="AP112" s="13" t="str">
        <v>Hydranty</v>
      </c>
      <c r="AQ112" s="13" t="str">
        <v xml:space="preserve">Rolety </v>
      </c>
      <c r="AR112" s="13" t="str">
        <v>Wentylacja</v>
      </c>
      <c r="AS112" s="13" t="str">
        <v>Wymiana filtrów</v>
      </c>
      <c r="AT112" s="13" t="str">
        <v>Regałów magazynowych</v>
      </c>
      <c r="AU112" s="13" t="str">
        <v>CRO</v>
      </c>
      <c r="AV112" s="13" t="str">
        <v>Mroźnia/Chłodnia</v>
      </c>
      <c r="AW112" s="13" t="str">
        <v>Regały chłodnicze</v>
      </c>
      <c r="AX112" s="13" t="str">
        <v>Separatory tłuszczu</v>
      </c>
      <c r="AY112" s="13" t="str">
        <v>Vendingi</v>
      </c>
      <c r="AZ112" s="13" t="str">
        <v>UDT (wózki widłowe, paleciaki)</v>
      </c>
      <c r="BA112" s="13" t="str">
        <v>BHP (drabiny, schodki, podesty)</v>
      </c>
      <c r="BB112" s="12" t="str">
        <v>Ansul</v>
      </c>
      <c r="BC112" s="12" t="str">
        <v>Okap</v>
      </c>
      <c r="BD112" s="12" t="str">
        <v>Brama garażowa</v>
      </c>
      <c r="BE112" s="12" t="str">
        <v>Żaluzje (gastro)</v>
      </c>
      <c r="BF112" s="12" t="str">
        <v>Bramki antykradzieżowe</v>
      </c>
      <c r="BG112" s="12" t="str">
        <v>Mycie jednostek klimatyzacji</v>
      </c>
    </row>
    <row r="113" spans="1:59" ht="25" customHeight="1" x14ac:dyDescent="0.35">
      <c r="A113" s="12" t="s">
        <v>7</v>
      </c>
      <c r="B113" s="12" t="s">
        <v>39</v>
      </c>
      <c r="C113" s="12" t="s">
        <v>93</v>
      </c>
      <c r="D113" s="12" t="s">
        <v>22</v>
      </c>
      <c r="E113" s="15">
        <v>46141</v>
      </c>
      <c r="F113" s="1">
        <v>3</v>
      </c>
      <c r="G113" s="4">
        <f t="shared" si="26"/>
        <v>46232</v>
      </c>
      <c r="H113" s="12" t="str">
        <f t="shared" ca="1" si="27"/>
        <v>DO WYKONANIA</v>
      </c>
      <c r="I113" s="14"/>
      <c r="J113" s="1" t="e">
        <f>IF(COUNTA(A113:F495)=0,"",IF(#REF!="","BRAK PROTOKOŁU","DODANY"))</f>
        <v>#REF!</v>
      </c>
      <c r="K113" s="1"/>
      <c r="M113" s="13" t="str" cm="1">
        <f t="array" ref="M113:T113">IF($A113="","",IFERROR(TRANSPOSE(_xlfn._xlws.FILTER(Lokale!$C$3:$C$91,Lokale!$B$3:$B$91=$A113)),""))</f>
        <v>B03 (Multistore)</v>
      </c>
      <c r="N113" s="13" t="str">
        <v>B05 (ZOOM)</v>
      </c>
      <c r="O113" s="13" t="str">
        <v>B06 (Beauty)</v>
      </c>
      <c r="P113" s="13" t="str">
        <v>B07 (Wyspa)</v>
      </c>
      <c r="Q113" s="13" t="str">
        <v>B08 (Crew Shop)</v>
      </c>
      <c r="R113" s="13" t="str">
        <v>B04 (Spirit)</v>
      </c>
      <c r="S113" s="13" t="str">
        <v>B09 (Magazyn)</v>
      </c>
      <c r="T113" s="13" t="str">
        <v>Wszystkie lokale</v>
      </c>
      <c r="AJ113" s="13" t="str" cm="1">
        <f t="array" ref="AJ113:BG113">IF($C113="","",IFERROR(TRANSPOSE(_xlfn._xlws.FILTER(Listy!$D$2:$D$60,Listy!$C$2:$C$60=$C113)),""))</f>
        <v>Elektryczny (roczny)</v>
      </c>
      <c r="AK113" s="13" t="str">
        <v>Elektryczny (5-cio letni)</v>
      </c>
      <c r="AL113" s="13" t="str">
        <v>Systemy PPOŻ</v>
      </c>
      <c r="AM113" s="13" t="str">
        <v>Gaśnice</v>
      </c>
      <c r="AN113" s="13" t="str">
        <v>Klimatyzacja</v>
      </c>
      <c r="AO113" s="13" t="str">
        <v>Alarmy</v>
      </c>
      <c r="AP113" s="13" t="str">
        <v>Hydranty</v>
      </c>
      <c r="AQ113" s="13" t="str">
        <v xml:space="preserve">Rolety </v>
      </c>
      <c r="AR113" s="13" t="str">
        <v>Wentylacja</v>
      </c>
      <c r="AS113" s="13" t="str">
        <v>Wymiana filtrów</v>
      </c>
      <c r="AT113" s="13" t="str">
        <v>Regałów magazynowych</v>
      </c>
      <c r="AU113" s="13" t="str">
        <v>CRO</v>
      </c>
      <c r="AV113" s="13" t="str">
        <v>Mroźnia/Chłodnia</v>
      </c>
      <c r="AW113" s="13" t="str">
        <v>Regały chłodnicze</v>
      </c>
      <c r="AX113" s="13" t="str">
        <v>Separatory tłuszczu</v>
      </c>
      <c r="AY113" s="13" t="str">
        <v>Vendingi</v>
      </c>
      <c r="AZ113" s="13" t="str">
        <v>UDT (wózki widłowe, paleciaki)</v>
      </c>
      <c r="BA113" s="13" t="str">
        <v>BHP (drabiny, schodki, podesty)</v>
      </c>
      <c r="BB113" s="12" t="str">
        <v>Ansul</v>
      </c>
      <c r="BC113" s="12" t="str">
        <v>Okap</v>
      </c>
      <c r="BD113" s="12" t="str">
        <v>Brama garażowa</v>
      </c>
      <c r="BE113" s="12" t="str">
        <v>Żaluzje (gastro)</v>
      </c>
      <c r="BF113" s="12" t="str">
        <v>Bramki antykradzieżowe</v>
      </c>
      <c r="BG113" s="12" t="str">
        <v>Mycie jednostek klimatyzacji</v>
      </c>
    </row>
    <row r="114" spans="1:59" ht="25" customHeight="1" x14ac:dyDescent="0.35">
      <c r="A114" s="12" t="s">
        <v>7</v>
      </c>
      <c r="B114" s="12" t="s">
        <v>40</v>
      </c>
      <c r="C114" s="12" t="s">
        <v>93</v>
      </c>
      <c r="D114" s="12" t="s">
        <v>22</v>
      </c>
      <c r="E114" s="15">
        <v>46141</v>
      </c>
      <c r="F114" s="1">
        <v>3</v>
      </c>
      <c r="G114" s="4">
        <f t="shared" ref="G114:G118" si="28">IF(OR(E114="",F114=""),"",DATE(YEAR(E114),MONTH(E114)+F114,DAY(E114)))</f>
        <v>46232</v>
      </c>
      <c r="H114" s="12" t="str">
        <f t="shared" ca="1" si="27"/>
        <v>DO WYKONANIA</v>
      </c>
      <c r="I114" s="14"/>
      <c r="J114" s="1" t="e">
        <f>IF(COUNTA(A114:F517)=0,"",IF(#REF!="","BRAK PROTOKOŁU","DODANY"))</f>
        <v>#REF!</v>
      </c>
      <c r="K114" s="1"/>
      <c r="M114" s="13" t="str" cm="1">
        <f t="array" ref="M114:T114">IF($A114="","",IFERROR(TRANSPOSE(_xlfn._xlws.FILTER(Lokale!$C$3:$C$91,Lokale!$B$3:$B$91=$A114)),""))</f>
        <v>B03 (Multistore)</v>
      </c>
      <c r="N114" s="13" t="str">
        <v>B05 (ZOOM)</v>
      </c>
      <c r="O114" s="13" t="str">
        <v>B06 (Beauty)</v>
      </c>
      <c r="P114" s="13" t="str">
        <v>B07 (Wyspa)</v>
      </c>
      <c r="Q114" s="13" t="str">
        <v>B08 (Crew Shop)</v>
      </c>
      <c r="R114" s="13" t="str">
        <v>B04 (Spirit)</v>
      </c>
      <c r="S114" s="13" t="str">
        <v>B09 (Magazyn)</v>
      </c>
      <c r="T114" s="13" t="str">
        <v>Wszystkie lokale</v>
      </c>
      <c r="AJ114" s="13" t="str" cm="1">
        <f t="array" ref="AJ114:BG114">IF($C114="","",IFERROR(TRANSPOSE(_xlfn._xlws.FILTER(Listy!$D$2:$D$60,Listy!$C$2:$C$60=$C114)),""))</f>
        <v>Elektryczny (roczny)</v>
      </c>
      <c r="AK114" s="13" t="str">
        <v>Elektryczny (5-cio letni)</v>
      </c>
      <c r="AL114" s="13" t="str">
        <v>Systemy PPOŻ</v>
      </c>
      <c r="AM114" s="13" t="str">
        <v>Gaśnice</v>
      </c>
      <c r="AN114" s="13" t="str">
        <v>Klimatyzacja</v>
      </c>
      <c r="AO114" s="13" t="str">
        <v>Alarmy</v>
      </c>
      <c r="AP114" s="13" t="str">
        <v>Hydranty</v>
      </c>
      <c r="AQ114" s="13" t="str">
        <v xml:space="preserve">Rolety </v>
      </c>
      <c r="AR114" s="13" t="str">
        <v>Wentylacja</v>
      </c>
      <c r="AS114" s="13" t="str">
        <v>Wymiana filtrów</v>
      </c>
      <c r="AT114" s="13" t="str">
        <v>Regałów magazynowych</v>
      </c>
      <c r="AU114" s="13" t="str">
        <v>CRO</v>
      </c>
      <c r="AV114" s="13" t="str">
        <v>Mroźnia/Chłodnia</v>
      </c>
      <c r="AW114" s="13" t="str">
        <v>Regały chłodnicze</v>
      </c>
      <c r="AX114" s="13" t="str">
        <v>Separatory tłuszczu</v>
      </c>
      <c r="AY114" s="13" t="str">
        <v>Vendingi</v>
      </c>
      <c r="AZ114" s="13" t="str">
        <v>UDT (wózki widłowe, paleciaki)</v>
      </c>
      <c r="BA114" s="13" t="str">
        <v>BHP (drabiny, schodki, podesty)</v>
      </c>
      <c r="BB114" s="12" t="str">
        <v>Ansul</v>
      </c>
      <c r="BC114" s="12" t="str">
        <v>Okap</v>
      </c>
      <c r="BD114" s="12" t="str">
        <v>Brama garażowa</v>
      </c>
      <c r="BE114" s="12" t="str">
        <v>Żaluzje (gastro)</v>
      </c>
      <c r="BF114" s="12" t="str">
        <v>Bramki antykradzieżowe</v>
      </c>
      <c r="BG114" s="12" t="str">
        <v>Mycie jednostek klimatyzacji</v>
      </c>
    </row>
    <row r="115" spans="1:59" ht="25" customHeight="1" x14ac:dyDescent="0.35">
      <c r="A115" s="12" t="s">
        <v>7</v>
      </c>
      <c r="B115" s="12" t="s">
        <v>42</v>
      </c>
      <c r="C115" s="12" t="s">
        <v>93</v>
      </c>
      <c r="D115" s="12" t="s">
        <v>22</v>
      </c>
      <c r="E115" s="15">
        <v>46141</v>
      </c>
      <c r="F115" s="1">
        <v>3</v>
      </c>
      <c r="G115" s="4">
        <f t="shared" si="28"/>
        <v>46232</v>
      </c>
      <c r="H115" s="12" t="str">
        <f t="shared" ref="H115:H118" ca="1" si="29">IF(G115="","",IF(G115&lt;TODAY(),"PO TERMINIE",IF(G115&lt;=TODAY()+14,"DO WYKONANIA","OK")))</f>
        <v>DO WYKONANIA</v>
      </c>
      <c r="I115" s="14"/>
      <c r="J115" s="1" t="e">
        <f>IF(COUNTA(A115:F535)=0,"",IF(#REF!="","BRAK PROTOKOŁU","DODANY"))</f>
        <v>#REF!</v>
      </c>
      <c r="K115" s="1"/>
      <c r="M115" s="13" t="str" cm="1">
        <f t="array" ref="M115:T115">IF($A115="","",IFERROR(TRANSPOSE(_xlfn._xlws.FILTER(Lokale!$C$3:$C$91,Lokale!$B$3:$B$91=$A115)),""))</f>
        <v>B03 (Multistore)</v>
      </c>
      <c r="N115" s="13" t="str">
        <v>B05 (ZOOM)</v>
      </c>
      <c r="O115" s="13" t="str">
        <v>B06 (Beauty)</v>
      </c>
      <c r="P115" s="13" t="str">
        <v>B07 (Wyspa)</v>
      </c>
      <c r="Q115" s="13" t="str">
        <v>B08 (Crew Shop)</v>
      </c>
      <c r="R115" s="13" t="str">
        <v>B04 (Spirit)</v>
      </c>
      <c r="S115" s="13" t="str">
        <v>B09 (Magazyn)</v>
      </c>
      <c r="T115" s="13" t="str">
        <v>Wszystkie lokale</v>
      </c>
      <c r="AJ115" s="13" t="str" cm="1">
        <f t="array" ref="AJ115:BG115">IF($C115="","",IFERROR(TRANSPOSE(_xlfn._xlws.FILTER(Listy!$D$2:$D$60,Listy!$C$2:$C$60=$C115)),""))</f>
        <v>Elektryczny (roczny)</v>
      </c>
      <c r="AK115" s="13" t="str">
        <v>Elektryczny (5-cio letni)</v>
      </c>
      <c r="AL115" s="13" t="str">
        <v>Systemy PPOŻ</v>
      </c>
      <c r="AM115" s="13" t="str">
        <v>Gaśnice</v>
      </c>
      <c r="AN115" s="13" t="str">
        <v>Klimatyzacja</v>
      </c>
      <c r="AO115" s="13" t="str">
        <v>Alarmy</v>
      </c>
      <c r="AP115" s="13" t="str">
        <v>Hydranty</v>
      </c>
      <c r="AQ115" s="13" t="str">
        <v xml:space="preserve">Rolety </v>
      </c>
      <c r="AR115" s="13" t="str">
        <v>Wentylacja</v>
      </c>
      <c r="AS115" s="13" t="str">
        <v>Wymiana filtrów</v>
      </c>
      <c r="AT115" s="13" t="str">
        <v>Regałów magazynowych</v>
      </c>
      <c r="AU115" s="13" t="str">
        <v>CRO</v>
      </c>
      <c r="AV115" s="13" t="str">
        <v>Mroźnia/Chłodnia</v>
      </c>
      <c r="AW115" s="13" t="str">
        <v>Regały chłodnicze</v>
      </c>
      <c r="AX115" s="13" t="str">
        <v>Separatory tłuszczu</v>
      </c>
      <c r="AY115" s="13" t="str">
        <v>Vendingi</v>
      </c>
      <c r="AZ115" s="13" t="str">
        <v>UDT (wózki widłowe, paleciaki)</v>
      </c>
      <c r="BA115" s="13" t="str">
        <v>BHP (drabiny, schodki, podesty)</v>
      </c>
      <c r="BB115" s="12" t="str">
        <v>Ansul</v>
      </c>
      <c r="BC115" s="12" t="str">
        <v>Okap</v>
      </c>
      <c r="BD115" s="12" t="str">
        <v>Brama garażowa</v>
      </c>
      <c r="BE115" s="12" t="str">
        <v>Żaluzje (gastro)</v>
      </c>
      <c r="BF115" s="12" t="str">
        <v>Bramki antykradzieżowe</v>
      </c>
      <c r="BG115" s="12" t="str">
        <v>Mycie jednostek klimatyzacji</v>
      </c>
    </row>
    <row r="116" spans="1:59" ht="25" customHeight="1" x14ac:dyDescent="0.35">
      <c r="A116" s="12" t="s">
        <v>7</v>
      </c>
      <c r="B116" s="12" t="s">
        <v>111</v>
      </c>
      <c r="C116" s="12" t="s">
        <v>93</v>
      </c>
      <c r="D116" s="12" t="s">
        <v>96</v>
      </c>
      <c r="E116" s="15">
        <v>46043</v>
      </c>
      <c r="F116" s="1">
        <v>12</v>
      </c>
      <c r="G116" s="4">
        <f t="shared" si="28"/>
        <v>46408</v>
      </c>
      <c r="H116" s="12" t="str">
        <f t="shared" ca="1" si="29"/>
        <v>OK</v>
      </c>
      <c r="I116" s="14"/>
      <c r="J116" s="1" t="e">
        <f>IF(COUNTA(A116:F542)=0,"",IF(#REF!="","BRAK PROTOKOŁU","DODANY"))</f>
        <v>#REF!</v>
      </c>
      <c r="K116" s="1"/>
      <c r="M116" s="13" t="str" cm="1">
        <f t="array" ref="M116:T116">IF($A116="","",IFERROR(TRANSPOSE(_xlfn._xlws.FILTER(Lokale!$C$3:$C$91,Lokale!$B$3:$B$91=$A116)),""))</f>
        <v>B03 (Multistore)</v>
      </c>
      <c r="N116" s="13" t="str">
        <v>B05 (ZOOM)</v>
      </c>
      <c r="O116" s="13" t="str">
        <v>B06 (Beauty)</v>
      </c>
      <c r="P116" s="13" t="str">
        <v>B07 (Wyspa)</v>
      </c>
      <c r="Q116" s="13" t="str">
        <v>B08 (Crew Shop)</v>
      </c>
      <c r="R116" s="13" t="str">
        <v>B04 (Spirit)</v>
      </c>
      <c r="S116" s="13" t="str">
        <v>B09 (Magazyn)</v>
      </c>
      <c r="T116" s="13" t="str">
        <v>Wszystkie lokale</v>
      </c>
      <c r="AJ116" s="13" t="str" cm="1">
        <f t="array" ref="AJ116:BG116">IF($C116="","",IFERROR(TRANSPOSE(_xlfn._xlws.FILTER(Listy!$D$2:$D$60,Listy!$C$2:$C$60=$C116)),""))</f>
        <v>Elektryczny (roczny)</v>
      </c>
      <c r="AK116" s="13" t="str">
        <v>Elektryczny (5-cio letni)</v>
      </c>
      <c r="AL116" s="13" t="str">
        <v>Systemy PPOŻ</v>
      </c>
      <c r="AM116" s="13" t="str">
        <v>Gaśnice</v>
      </c>
      <c r="AN116" s="13" t="str">
        <v>Klimatyzacja</v>
      </c>
      <c r="AO116" s="13" t="str">
        <v>Alarmy</v>
      </c>
      <c r="AP116" s="13" t="str">
        <v>Hydranty</v>
      </c>
      <c r="AQ116" s="13" t="str">
        <v xml:space="preserve">Rolety </v>
      </c>
      <c r="AR116" s="13" t="str">
        <v>Wentylacja</v>
      </c>
      <c r="AS116" s="13" t="str">
        <v>Wymiana filtrów</v>
      </c>
      <c r="AT116" s="13" t="str">
        <v>Regałów magazynowych</v>
      </c>
      <c r="AU116" s="13" t="str">
        <v>CRO</v>
      </c>
      <c r="AV116" s="13" t="str">
        <v>Mroźnia/Chłodnia</v>
      </c>
      <c r="AW116" s="13" t="str">
        <v>Regały chłodnicze</v>
      </c>
      <c r="AX116" s="13" t="str">
        <v>Separatory tłuszczu</v>
      </c>
      <c r="AY116" s="13" t="str">
        <v>Vendingi</v>
      </c>
      <c r="AZ116" s="13" t="str">
        <v>UDT (wózki widłowe, paleciaki)</v>
      </c>
      <c r="BA116" s="13" t="str">
        <v>BHP (drabiny, schodki, podesty)</v>
      </c>
      <c r="BB116" s="12" t="str">
        <v>Ansul</v>
      </c>
      <c r="BC116" s="12" t="str">
        <v>Okap</v>
      </c>
      <c r="BD116" s="12" t="str">
        <v>Brama garażowa</v>
      </c>
      <c r="BE116" s="12" t="str">
        <v>Żaluzje (gastro)</v>
      </c>
      <c r="BF116" s="12" t="str">
        <v>Bramki antykradzieżowe</v>
      </c>
      <c r="BG116" s="12" t="str">
        <v>Mycie jednostek klimatyzacji</v>
      </c>
    </row>
    <row r="117" spans="1:59" ht="25" customHeight="1" x14ac:dyDescent="0.35">
      <c r="A117" s="12" t="s">
        <v>7</v>
      </c>
      <c r="B117" s="12" t="s">
        <v>111</v>
      </c>
      <c r="C117" s="12" t="s">
        <v>93</v>
      </c>
      <c r="D117" s="12" t="s">
        <v>73</v>
      </c>
      <c r="F117" s="1"/>
      <c r="G117" s="4" t="str">
        <f t="shared" si="28"/>
        <v/>
      </c>
      <c r="H117" s="12" t="str">
        <f t="shared" ca="1" si="29"/>
        <v/>
      </c>
      <c r="I117" s="14"/>
      <c r="J117" s="1" t="e">
        <f>IF(COUNTA(A117:F543)=0,"",IF(#REF!="","BRAK PROTOKOŁU","DODANY"))</f>
        <v>#REF!</v>
      </c>
      <c r="K117" s="1"/>
      <c r="M117" s="13" t="str" cm="1">
        <f t="array" ref="M117:T117">IF($A117="","",IFERROR(TRANSPOSE(_xlfn._xlws.FILTER(Lokale!$C$3:$C$91,Lokale!$B$3:$B$91=$A117)),""))</f>
        <v>B03 (Multistore)</v>
      </c>
      <c r="N117" s="13" t="str">
        <v>B05 (ZOOM)</v>
      </c>
      <c r="O117" s="13" t="str">
        <v>B06 (Beauty)</v>
      </c>
      <c r="P117" s="13" t="str">
        <v>B07 (Wyspa)</v>
      </c>
      <c r="Q117" s="13" t="str">
        <v>B08 (Crew Shop)</v>
      </c>
      <c r="R117" s="13" t="str">
        <v>B04 (Spirit)</v>
      </c>
      <c r="S117" s="13" t="str">
        <v>B09 (Magazyn)</v>
      </c>
      <c r="T117" s="13" t="str">
        <v>Wszystkie lokale</v>
      </c>
      <c r="AJ117" s="13" t="str" cm="1">
        <f t="array" ref="AJ117:BG117">IF($C117="","",IFERROR(TRANSPOSE(_xlfn._xlws.FILTER(Listy!$D$2:$D$60,Listy!$C$2:$C$60=$C117)),""))</f>
        <v>Elektryczny (roczny)</v>
      </c>
      <c r="AK117" s="13" t="str">
        <v>Elektryczny (5-cio letni)</v>
      </c>
      <c r="AL117" s="13" t="str">
        <v>Systemy PPOŻ</v>
      </c>
      <c r="AM117" s="13" t="str">
        <v>Gaśnice</v>
      </c>
      <c r="AN117" s="13" t="str">
        <v>Klimatyzacja</v>
      </c>
      <c r="AO117" s="13" t="str">
        <v>Alarmy</v>
      </c>
      <c r="AP117" s="13" t="str">
        <v>Hydranty</v>
      </c>
      <c r="AQ117" s="13" t="str">
        <v xml:space="preserve">Rolety </v>
      </c>
      <c r="AR117" s="13" t="str">
        <v>Wentylacja</v>
      </c>
      <c r="AS117" s="13" t="str">
        <v>Wymiana filtrów</v>
      </c>
      <c r="AT117" s="13" t="str">
        <v>Regałów magazynowych</v>
      </c>
      <c r="AU117" s="13" t="str">
        <v>CRO</v>
      </c>
      <c r="AV117" s="13" t="str">
        <v>Mroźnia/Chłodnia</v>
      </c>
      <c r="AW117" s="13" t="str">
        <v>Regały chłodnicze</v>
      </c>
      <c r="AX117" s="13" t="str">
        <v>Separatory tłuszczu</v>
      </c>
      <c r="AY117" s="13" t="str">
        <v>Vendingi</v>
      </c>
      <c r="AZ117" s="13" t="str">
        <v>UDT (wózki widłowe, paleciaki)</v>
      </c>
      <c r="BA117" s="13" t="str">
        <v>BHP (drabiny, schodki, podesty)</v>
      </c>
      <c r="BB117" s="12" t="str">
        <v>Ansul</v>
      </c>
      <c r="BC117" s="12" t="str">
        <v>Okap</v>
      </c>
      <c r="BD117" s="12" t="str">
        <v>Brama garażowa</v>
      </c>
      <c r="BE117" s="12" t="str">
        <v>Żaluzje (gastro)</v>
      </c>
      <c r="BF117" s="12" t="str">
        <v>Bramki antykradzieżowe</v>
      </c>
      <c r="BG117" s="12" t="str">
        <v>Mycie jednostek klimatyzacji</v>
      </c>
    </row>
    <row r="118" spans="1:59" ht="25" customHeight="1" x14ac:dyDescent="0.35">
      <c r="A118" s="12" t="s">
        <v>7</v>
      </c>
      <c r="B118" s="12" t="s">
        <v>111</v>
      </c>
      <c r="C118" s="12" t="s">
        <v>93</v>
      </c>
      <c r="D118" s="12" t="s">
        <v>84</v>
      </c>
      <c r="E118" s="15">
        <v>46087</v>
      </c>
      <c r="F118" s="1">
        <v>12</v>
      </c>
      <c r="G118" s="4">
        <f t="shared" si="28"/>
        <v>46452</v>
      </c>
      <c r="H118" s="12" t="str">
        <f t="shared" ca="1" si="29"/>
        <v>OK</v>
      </c>
      <c r="I118" s="14"/>
      <c r="J118" s="1" t="e">
        <f>IF(COUNTA(A118:F544)=0,"",IF(#REF!="","BRAK PROTOKOŁU","DODANY"))</f>
        <v>#REF!</v>
      </c>
      <c r="K118" s="1"/>
      <c r="M118" s="13" t="str" cm="1">
        <f t="array" ref="M118:T118">IF($A118="","",IFERROR(TRANSPOSE(_xlfn._xlws.FILTER(Lokale!$C$3:$C$91,Lokale!$B$3:$B$91=$A118)),""))</f>
        <v>B03 (Multistore)</v>
      </c>
      <c r="N118" s="13" t="str">
        <v>B05 (ZOOM)</v>
      </c>
      <c r="O118" s="13" t="str">
        <v>B06 (Beauty)</v>
      </c>
      <c r="P118" s="13" t="str">
        <v>B07 (Wyspa)</v>
      </c>
      <c r="Q118" s="13" t="str">
        <v>B08 (Crew Shop)</v>
      </c>
      <c r="R118" s="13" t="str">
        <v>B04 (Spirit)</v>
      </c>
      <c r="S118" s="13" t="str">
        <v>B09 (Magazyn)</v>
      </c>
      <c r="T118" s="13" t="str">
        <v>Wszystkie lokale</v>
      </c>
      <c r="AJ118" s="13" t="str" cm="1">
        <f t="array" ref="AJ118:BG118">IF($C118="","",IFERROR(TRANSPOSE(_xlfn._xlws.FILTER(Listy!$D$2:$D$60,Listy!$C$2:$C$60=$C118)),""))</f>
        <v>Elektryczny (roczny)</v>
      </c>
      <c r="AK118" s="13" t="str">
        <v>Elektryczny (5-cio letni)</v>
      </c>
      <c r="AL118" s="13" t="str">
        <v>Systemy PPOŻ</v>
      </c>
      <c r="AM118" s="13" t="str">
        <v>Gaśnice</v>
      </c>
      <c r="AN118" s="13" t="str">
        <v>Klimatyzacja</v>
      </c>
      <c r="AO118" s="13" t="str">
        <v>Alarmy</v>
      </c>
      <c r="AP118" s="13" t="str">
        <v>Hydranty</v>
      </c>
      <c r="AQ118" s="13" t="str">
        <v xml:space="preserve">Rolety </v>
      </c>
      <c r="AR118" s="13" t="str">
        <v>Wentylacja</v>
      </c>
      <c r="AS118" s="13" t="str">
        <v>Wymiana filtrów</v>
      </c>
      <c r="AT118" s="13" t="str">
        <v>Regałów magazynowych</v>
      </c>
      <c r="AU118" s="13" t="str">
        <v>CRO</v>
      </c>
      <c r="AV118" s="13" t="str">
        <v>Mroźnia/Chłodnia</v>
      </c>
      <c r="AW118" s="13" t="str">
        <v>Regały chłodnicze</v>
      </c>
      <c r="AX118" s="13" t="str">
        <v>Separatory tłuszczu</v>
      </c>
      <c r="AY118" s="13" t="str">
        <v>Vendingi</v>
      </c>
      <c r="AZ118" s="13" t="str">
        <v>UDT (wózki widłowe, paleciaki)</v>
      </c>
      <c r="BA118" s="13" t="str">
        <v>BHP (drabiny, schodki, podesty)</v>
      </c>
      <c r="BB118" s="12" t="str">
        <v>Ansul</v>
      </c>
      <c r="BC118" s="12" t="str">
        <v>Okap</v>
      </c>
      <c r="BD118" s="12" t="str">
        <v>Brama garażowa</v>
      </c>
      <c r="BE118" s="12" t="str">
        <v>Żaluzje (gastro)</v>
      </c>
      <c r="BF118" s="12" t="str">
        <v>Bramki antykradzieżowe</v>
      </c>
      <c r="BG118" s="12" t="str">
        <v>Mycie jednostek klimatyzacji</v>
      </c>
    </row>
    <row r="119" spans="1:59" ht="25" customHeight="1" x14ac:dyDescent="0.35">
      <c r="A119" s="12" t="s">
        <v>17</v>
      </c>
      <c r="B119" s="12" t="s">
        <v>29</v>
      </c>
      <c r="C119" s="12" t="s">
        <v>93</v>
      </c>
      <c r="D119" s="12" t="s">
        <v>22</v>
      </c>
      <c r="E119" s="15">
        <v>46097</v>
      </c>
      <c r="F119" s="1">
        <v>3</v>
      </c>
      <c r="G119" s="4">
        <f t="shared" ref="G119" si="30">IF(OR(E119="",F119=""),"",DATE(YEAR(E119),MONTH(E119)+F119,DAY(E119)))</f>
        <v>46189</v>
      </c>
      <c r="H119" s="12" t="str">
        <f t="shared" ref="H119" ca="1" si="31">IF(G119="","",IF(G119&lt;TODAY(),"PO TERMINIE",IF(G119&lt;=TODAY()+14,"DO WYKONANIA","OK")))</f>
        <v>PO TERMINIE</v>
      </c>
      <c r="I119" s="14"/>
      <c r="J119" s="1" t="e">
        <f>IF(COUNTA(A119:F600)=0,"",IF(#REF!="","BRAK PROTOKOŁU","DODANY"))</f>
        <v>#REF!</v>
      </c>
      <c r="K119" s="1"/>
      <c r="M119" s="13" t="str" cm="1">
        <f t="array" ref="M119:S119">IF($A119="","",IFERROR(TRANSPOSE(_xlfn._xlws.FILTER(Lokale!$C$3:$C$91,Lokale!$B$3:$B$91=$A119)),""))</f>
        <v>B52 (Multistore)</v>
      </c>
      <c r="N119" s="13" t="str">
        <v>B53 (Glamour)</v>
      </c>
      <c r="O119" s="13" t="str">
        <v>BA1 (Beauty Shop)</v>
      </c>
      <c r="P119" s="13" t="str">
        <v>BA2 (Multistore)</v>
      </c>
      <c r="Q119" s="13" t="str">
        <v>B51 (Magazyn)</v>
      </c>
      <c r="R119" s="13" t="str">
        <v>284 (Cavarious)</v>
      </c>
      <c r="S119" s="13" t="str">
        <v>Wszystkie lokale</v>
      </c>
      <c r="AJ119" s="13" t="str" cm="1">
        <f t="array" ref="AJ119:BG119">IF($C119="","",IFERROR(TRANSPOSE(_xlfn._xlws.FILTER(Listy!$D$2:$D$60,Listy!$C$2:$C$60=$C119)),""))</f>
        <v>Elektryczny (roczny)</v>
      </c>
      <c r="AK119" s="13" t="str">
        <v>Elektryczny (5-cio letni)</v>
      </c>
      <c r="AL119" s="13" t="str">
        <v>Systemy PPOŻ</v>
      </c>
      <c r="AM119" s="13" t="str">
        <v>Gaśnice</v>
      </c>
      <c r="AN119" s="13" t="str">
        <v>Klimatyzacja</v>
      </c>
      <c r="AO119" s="13" t="str">
        <v>Alarmy</v>
      </c>
      <c r="AP119" s="13" t="str">
        <v>Hydranty</v>
      </c>
      <c r="AQ119" s="13" t="str">
        <v xml:space="preserve">Rolety </v>
      </c>
      <c r="AR119" s="13" t="str">
        <v>Wentylacja</v>
      </c>
      <c r="AS119" s="13" t="str">
        <v>Wymiana filtrów</v>
      </c>
      <c r="AT119" s="13" t="str">
        <v>Regałów magazynowych</v>
      </c>
      <c r="AU119" s="13" t="str">
        <v>CRO</v>
      </c>
      <c r="AV119" s="13" t="str">
        <v>Mroźnia/Chłodnia</v>
      </c>
      <c r="AW119" s="13" t="str">
        <v>Regały chłodnicze</v>
      </c>
      <c r="AX119" s="13" t="str">
        <v>Separatory tłuszczu</v>
      </c>
      <c r="AY119" s="13" t="str">
        <v>Vendingi</v>
      </c>
      <c r="AZ119" s="13" t="str">
        <v>UDT (wózki widłowe, paleciaki)</v>
      </c>
      <c r="BA119" s="13" t="str">
        <v>BHP (drabiny, schodki, podesty)</v>
      </c>
      <c r="BB119" s="12" t="str">
        <v>Ansul</v>
      </c>
      <c r="BC119" s="12" t="str">
        <v>Okap</v>
      </c>
      <c r="BD119" s="12" t="str">
        <v>Brama garażowa</v>
      </c>
      <c r="BE119" s="12" t="str">
        <v>Żaluzje (gastro)</v>
      </c>
      <c r="BF119" s="12" t="str">
        <v>Bramki antykradzieżowe</v>
      </c>
      <c r="BG119" s="12" t="str">
        <v>Mycie jednostek klimatyzacji</v>
      </c>
    </row>
    <row r="120" spans="1:59" ht="25" customHeight="1" x14ac:dyDescent="0.35">
      <c r="A120" s="12" t="s">
        <v>17</v>
      </c>
      <c r="B120" s="12" t="s">
        <v>155</v>
      </c>
      <c r="C120" s="12" t="s">
        <v>93</v>
      </c>
      <c r="D120" s="12" t="s">
        <v>103</v>
      </c>
      <c r="E120" s="15">
        <v>45845</v>
      </c>
      <c r="F120" s="1"/>
      <c r="G120" s="4" t="str">
        <f>IF(OR(E120="",F120=""),"",DATE(YEAR(E120),MONTH(E120)+F120,DAY(E120)))</f>
        <v/>
      </c>
      <c r="H120" s="12" t="str">
        <f t="shared" ref="H120" ca="1" si="32">IF(G120="","",IF(G120&lt;TODAY(),"PO TERMINIE",IF(G120&lt;=TODAY()+14,"DO WYKONANIA","OK")))</f>
        <v/>
      </c>
      <c r="I120" s="14"/>
      <c r="J120" s="1" t="e">
        <f>IF(COUNTA(A120:F2000)=0,"",IF(#REF!="","BRAK PROTOKOŁU","DODANY"))</f>
        <v>#REF!</v>
      </c>
      <c r="K120" s="1"/>
    </row>
    <row r="121" spans="1:59" ht="30" customHeight="1" x14ac:dyDescent="0.35">
      <c r="A121" s="12" t="s">
        <v>3</v>
      </c>
      <c r="B121" s="12" t="s">
        <v>33</v>
      </c>
      <c r="C121" s="12" t="s">
        <v>93</v>
      </c>
      <c r="D121" s="12" t="s">
        <v>22</v>
      </c>
      <c r="E121" s="15">
        <v>46170</v>
      </c>
      <c r="F121" s="1">
        <v>3</v>
      </c>
      <c r="G121" s="4">
        <f t="shared" ref="G121" si="33">IF(OR(E121="",F121=""),"",DATE(YEAR(E121),MONTH(E121)+F121,DAY(E121)))</f>
        <v>46262</v>
      </c>
      <c r="H121" s="12" t="str">
        <f t="shared" ref="H121" ca="1" si="34">IF(G121="","",IF(G121&lt;TODAY(),"PO TERMINIE",IF(G121&lt;=TODAY()+14,"DO WYKONANIA","OK")))</f>
        <v>OK</v>
      </c>
      <c r="I121" s="14"/>
      <c r="J121" s="1" t="e">
        <f>IF(COUNTA(A121:F751)=0,"",IF(#REF!="","BRAK PROTOKOŁU","DODANY"))</f>
        <v>#REF!</v>
      </c>
      <c r="K121" s="1"/>
      <c r="M121" s="13" t="str" cm="1">
        <f t="array" ref="M121:T121">IF($A121="","",IFERROR(TRANSPOSE(_xlfn._xlws.FILTER(Lokale!$C$3:$C$91,Lokale!$B$3:$B$91=$A121)),""))</f>
        <v>B39 (Multistore)</v>
      </c>
      <c r="N121" s="13" t="str">
        <v>B17 (Ministore)</v>
      </c>
      <c r="O121" s="13" t="str">
        <v>B15 (ZOOM)</v>
      </c>
      <c r="P121" s="13" t="str">
        <v>298 (Travel Chef)</v>
      </c>
      <c r="Q121" s="13" t="str">
        <v>299 (Cavarious)</v>
      </c>
      <c r="R121" s="13" t="str">
        <v>290 (Corner)</v>
      </c>
      <c r="S121" s="13" t="str">
        <v>B10 (Magazyn)</v>
      </c>
      <c r="T121" s="13" t="str">
        <v>Wszystkie lokale</v>
      </c>
      <c r="AJ121" s="13" t="str" cm="1">
        <f t="array" ref="AJ121:BG121">IF($C121="","",IFERROR(TRANSPOSE(_xlfn._xlws.FILTER(Listy!$D$2:$D$60,Listy!$C$2:$C$60=$C121)),""))</f>
        <v>Elektryczny (roczny)</v>
      </c>
      <c r="AK121" s="13" t="str">
        <v>Elektryczny (5-cio letni)</v>
      </c>
      <c r="AL121" s="13" t="str">
        <v>Systemy PPOŻ</v>
      </c>
      <c r="AM121" s="13" t="str">
        <v>Gaśnice</v>
      </c>
      <c r="AN121" s="13" t="str">
        <v>Klimatyzacja</v>
      </c>
      <c r="AO121" s="13" t="str">
        <v>Alarmy</v>
      </c>
      <c r="AP121" s="13" t="str">
        <v>Hydranty</v>
      </c>
      <c r="AQ121" s="13" t="str">
        <v xml:space="preserve">Rolety </v>
      </c>
      <c r="AR121" s="13" t="str">
        <v>Wentylacja</v>
      </c>
      <c r="AS121" s="13" t="str">
        <v>Wymiana filtrów</v>
      </c>
      <c r="AT121" s="13" t="str">
        <v>Regałów magazynowych</v>
      </c>
      <c r="AU121" s="13" t="str">
        <v>CRO</v>
      </c>
      <c r="AV121" s="13" t="str">
        <v>Mroźnia/Chłodnia</v>
      </c>
      <c r="AW121" s="13" t="str">
        <v>Regały chłodnicze</v>
      </c>
      <c r="AX121" s="13" t="str">
        <v>Separatory tłuszczu</v>
      </c>
      <c r="AY121" s="13" t="str">
        <v>Vendingi</v>
      </c>
      <c r="AZ121" s="13" t="str">
        <v>UDT (wózki widłowe, paleciaki)</v>
      </c>
      <c r="BA121" s="13" t="str">
        <v>BHP (drabiny, schodki, podesty)</v>
      </c>
      <c r="BB121" s="12" t="str">
        <v>Ansul</v>
      </c>
      <c r="BC121" s="12" t="str">
        <v>Okap</v>
      </c>
      <c r="BD121" s="12" t="str">
        <v>Brama garażowa</v>
      </c>
      <c r="BE121" s="12" t="str">
        <v>Żaluzje (gastro)</v>
      </c>
      <c r="BF121" s="12" t="str">
        <v>Bramki antykradzieżowe</v>
      </c>
      <c r="BG121" s="12" t="str">
        <v>Mycie jednostek klimatyzacji</v>
      </c>
    </row>
    <row r="122" spans="1:59" ht="25" customHeight="1" x14ac:dyDescent="0.35">
      <c r="A122" s="12" t="s">
        <v>3</v>
      </c>
      <c r="B122" s="12" t="s">
        <v>159</v>
      </c>
      <c r="C122" s="12" t="s">
        <v>93</v>
      </c>
      <c r="D122" s="12" t="s">
        <v>156</v>
      </c>
      <c r="E122" s="15">
        <v>46175</v>
      </c>
      <c r="F122" s="1">
        <v>12</v>
      </c>
      <c r="G122" s="15">
        <f>IF(OR(E122="",F122=""),"",DATE(YEAR(E122),MONTH(E122)+F122,DAY(E122)))</f>
        <v>46540</v>
      </c>
      <c r="H122" s="12" t="str">
        <f t="shared" ref="H122" ca="1" si="35">IF(G122="","",IF(G122&lt;TODAY(),"PO TERMINIE",IF(G122&lt;=TODAY()+14,"DO WYKONANIA","OK")))</f>
        <v>OK</v>
      </c>
      <c r="I122" s="14"/>
      <c r="J122" s="1" t="e">
        <f>IF(COUNTA(A122:F804)=0,"",IF(#REF!="","BRAK PROTOKOŁU","DODANY"))</f>
        <v>#REF!</v>
      </c>
      <c r="K122" s="1"/>
    </row>
    <row r="123" spans="1:59" ht="25" customHeight="1" x14ac:dyDescent="0.35">
      <c r="A123" s="12" t="s">
        <v>4</v>
      </c>
      <c r="B123" s="12" t="s">
        <v>116</v>
      </c>
      <c r="C123" s="12" t="s">
        <v>93</v>
      </c>
      <c r="D123" s="12" t="s">
        <v>22</v>
      </c>
      <c r="E123" s="15">
        <v>46190</v>
      </c>
      <c r="F123" s="1">
        <v>3</v>
      </c>
      <c r="G123" s="15">
        <f t="shared" ref="G123" si="36">IF(OR(E123="",F123=""),"",DATE(YEAR(E123),MONTH(E123)+F123,DAY(E123)))</f>
        <v>46282</v>
      </c>
      <c r="H123" s="12" t="str">
        <f t="shared" ref="H123" ca="1" si="37">IF(G123="","",IF(G123&lt;TODAY(),"PO TERMINIE",IF(G123&lt;=TODAY()+14,"DO WYKONANIA","OK")))</f>
        <v>OK</v>
      </c>
      <c r="I123" s="14"/>
      <c r="J123" s="1" t="e">
        <f>IF(COUNTA(A123:F974)=0,"",IF(#REF!="","BRAK PROTOKOŁU","DODANY"))</f>
        <v>#REF!</v>
      </c>
      <c r="K123" s="1"/>
      <c r="M123" s="13" t="str" cm="1">
        <f t="array" ref="M123:R123">IF($A123="","",IFERROR(TRANSPOSE(_xlfn._xlws.FILTER(Lokale!$C$3:$C$91,Lokale!$B$3:$B$91=$A123)),""))</f>
        <v>B34 (Multistore)</v>
      </c>
      <c r="N123" s="13" t="str">
        <v>B33 (Ministore)</v>
      </c>
      <c r="O123" s="13" t="str">
        <v>296 (NS Express)</v>
      </c>
      <c r="P123" s="13" t="str">
        <v>295 (Corner)</v>
      </c>
      <c r="Q123" s="13" t="str">
        <v>285 (Lounge)</v>
      </c>
      <c r="R123" s="13" t="str">
        <v>Wszystkie lokale</v>
      </c>
      <c r="AJ123" s="13" t="str" cm="1">
        <f t="array" ref="AJ123:BG123">IF($C123="","",IFERROR(TRANSPOSE(_xlfn._xlws.FILTER(Listy!$D$2:$D$60,Listy!$C$2:$C$60=$C123)),""))</f>
        <v>Elektryczny (roczny)</v>
      </c>
      <c r="AK123" s="13" t="str">
        <v>Elektryczny (5-cio letni)</v>
      </c>
      <c r="AL123" s="13" t="str">
        <v>Systemy PPOŻ</v>
      </c>
      <c r="AM123" s="13" t="str">
        <v>Gaśnice</v>
      </c>
      <c r="AN123" s="13" t="str">
        <v>Klimatyzacja</v>
      </c>
      <c r="AO123" s="13" t="str">
        <v>Alarmy</v>
      </c>
      <c r="AP123" s="13" t="str">
        <v>Hydranty</v>
      </c>
      <c r="AQ123" s="13" t="str">
        <v xml:space="preserve">Rolety </v>
      </c>
      <c r="AR123" s="13" t="str">
        <v>Wentylacja</v>
      </c>
      <c r="AS123" s="13" t="str">
        <v>Wymiana filtrów</v>
      </c>
      <c r="AT123" s="13" t="str">
        <v>Regałów magazynowych</v>
      </c>
      <c r="AU123" s="13" t="str">
        <v>CRO</v>
      </c>
      <c r="AV123" s="13" t="str">
        <v>Mroźnia/Chłodnia</v>
      </c>
      <c r="AW123" s="13" t="str">
        <v>Regały chłodnicze</v>
      </c>
      <c r="AX123" s="13" t="str">
        <v>Separatory tłuszczu</v>
      </c>
      <c r="AY123" s="13" t="str">
        <v>Vendingi</v>
      </c>
      <c r="AZ123" s="13" t="str">
        <v>UDT (wózki widłowe, paleciaki)</v>
      </c>
      <c r="BA123" s="13" t="str">
        <v>BHP (drabiny, schodki, podesty)</v>
      </c>
      <c r="BB123" s="12" t="str">
        <v>Ansul</v>
      </c>
      <c r="BC123" s="12" t="str">
        <v>Okap</v>
      </c>
      <c r="BD123" s="12" t="str">
        <v>Brama garażowa</v>
      </c>
      <c r="BE123" s="12" t="str">
        <v>Żaluzje (gastro)</v>
      </c>
      <c r="BF123" s="12" t="str">
        <v>Bramki antykradzieżowe</v>
      </c>
      <c r="BG123" s="12" t="str">
        <v>Mycie jednostek klimatyzacji</v>
      </c>
    </row>
    <row r="124" spans="1:59" ht="25" customHeight="1" x14ac:dyDescent="0.35">
      <c r="A124" s="12" t="s">
        <v>26</v>
      </c>
      <c r="B124" s="12" t="s">
        <v>59</v>
      </c>
      <c r="C124" s="12" t="s">
        <v>93</v>
      </c>
      <c r="D124" s="12" t="s">
        <v>22</v>
      </c>
      <c r="E124" s="15">
        <v>46175</v>
      </c>
      <c r="F124" s="1">
        <v>3</v>
      </c>
      <c r="G124" s="15">
        <f t="shared" ref="G124" si="38">IF(OR(E124="",F124=""),"",DATE(YEAR(E124),MONTH(E124)+F124,DAY(E124)))</f>
        <v>46267</v>
      </c>
      <c r="H124" s="12" t="str">
        <f t="shared" ref="H124:H132" ca="1" si="39">IF(G124="","",IF(G124&lt;TODAY(),"PO TERMINIE",IF(G124&lt;=TODAY()+14,"DO WYKONANIA","OK")))</f>
        <v>OK</v>
      </c>
      <c r="I124" s="14"/>
      <c r="J124" s="1" t="e">
        <f>IF(COUNTA(A124:F2370)=0,"",IF(#REF!="","BRAK PROTOKOŁU","DODANY"))</f>
        <v>#REF!</v>
      </c>
      <c r="K124" s="1"/>
      <c r="M124" s="13" t="str" cm="1">
        <f t="array" ref="M124:R124">IF($A124="","",IFERROR(TRANSPOSE(_xlfn._xlws.FILTER(Lokale!$C$3:$C$91,Lokale!$B$3:$B$91=$A124)),""))</f>
        <v>BK3 (Ministore)</v>
      </c>
      <c r="N124" s="13" t="str">
        <v>BK4 (Ministore NS)</v>
      </c>
      <c r="O124" s="13" t="str">
        <v>BK2 (Multistore)</v>
      </c>
      <c r="P124" s="13" t="str">
        <v>BK1 (Magazyn)</v>
      </c>
      <c r="Q124" s="13" t="str">
        <v>288 (Dworzec PKP)</v>
      </c>
      <c r="R124" s="13" t="str">
        <v>Wszystkie lokale</v>
      </c>
      <c r="AJ124" s="13" t="str" cm="1">
        <f t="array" ref="AJ124:BG124">IF($C124="","",IFERROR(TRANSPOSE(_xlfn._xlws.FILTER(Listy!$D$2:$D$60,Listy!$C$2:$C$60=$C124)),""))</f>
        <v>Elektryczny (roczny)</v>
      </c>
      <c r="AK124" s="13" t="str">
        <v>Elektryczny (5-cio letni)</v>
      </c>
      <c r="AL124" s="13" t="str">
        <v>Systemy PPOŻ</v>
      </c>
      <c r="AM124" s="13" t="str">
        <v>Gaśnice</v>
      </c>
      <c r="AN124" s="13" t="str">
        <v>Klimatyzacja</v>
      </c>
      <c r="AO124" s="13" t="str">
        <v>Alarmy</v>
      </c>
      <c r="AP124" s="13" t="str">
        <v>Hydranty</v>
      </c>
      <c r="AQ124" s="13" t="str">
        <v xml:space="preserve">Rolety </v>
      </c>
      <c r="AR124" s="13" t="str">
        <v>Wentylacja</v>
      </c>
      <c r="AS124" s="13" t="str">
        <v>Wymiana filtrów</v>
      </c>
      <c r="AT124" s="13" t="str">
        <v>Regałów magazynowych</v>
      </c>
      <c r="AU124" s="13" t="str">
        <v>CRO</v>
      </c>
      <c r="AV124" s="13" t="str">
        <v>Mroźnia/Chłodnia</v>
      </c>
      <c r="AW124" s="13" t="str">
        <v>Regały chłodnicze</v>
      </c>
      <c r="AX124" s="13" t="str">
        <v>Separatory tłuszczu</v>
      </c>
      <c r="AY124" s="13" t="str">
        <v>Vendingi</v>
      </c>
      <c r="AZ124" s="13" t="str">
        <v>UDT (wózki widłowe, paleciaki)</v>
      </c>
      <c r="BA124" s="13" t="str">
        <v>BHP (drabiny, schodki, podesty)</v>
      </c>
      <c r="BB124" s="12" t="str">
        <v>Ansul</v>
      </c>
      <c r="BC124" s="12" t="str">
        <v>Okap</v>
      </c>
      <c r="BD124" s="12" t="str">
        <v>Brama garażowa</v>
      </c>
      <c r="BE124" s="12" t="str">
        <v>Żaluzje (gastro)</v>
      </c>
      <c r="BF124" s="12" t="str">
        <v>Bramki antykradzieżowe</v>
      </c>
      <c r="BG124" s="12" t="str">
        <v>Mycie jednostek klimatyzacji</v>
      </c>
    </row>
    <row r="125" spans="1:59" ht="25" customHeight="1" x14ac:dyDescent="0.35">
      <c r="A125" s="12" t="s">
        <v>25</v>
      </c>
      <c r="B125" s="12" t="s">
        <v>62</v>
      </c>
      <c r="C125" s="12" t="s">
        <v>93</v>
      </c>
      <c r="D125" s="12" t="s">
        <v>22</v>
      </c>
      <c r="E125" s="15">
        <v>46175</v>
      </c>
      <c r="F125" s="1">
        <v>3</v>
      </c>
      <c r="G125" s="15">
        <f t="shared" ref="G125:G161" si="40">IF(OR(E125="",F125=""),"",DATE(YEAR(E125),MONTH(E125)+F125,DAY(E125)))</f>
        <v>46267</v>
      </c>
      <c r="H125" s="12" t="str">
        <f t="shared" ca="1" si="39"/>
        <v>OK</v>
      </c>
      <c r="I125" s="14"/>
      <c r="J125" s="1" t="e">
        <f>IF(COUNTA(A125:F2411)=0,"",IF(#REF!="","BRAK PROTOKOŁU","DODANY"))</f>
        <v>#REF!</v>
      </c>
      <c r="K125" s="1"/>
      <c r="M125" s="13" t="str" cm="1">
        <f t="array" ref="M125:N125">IF($A125="","",IFERROR(TRANSPOSE(_xlfn._xlws.FILTER(Lokale!$C$3:$C$91,Lokale!$B$3:$B$91=$A125)),""))</f>
        <v>231 (Subway)</v>
      </c>
      <c r="N125" s="13" t="str">
        <v>230 (Cavarious)</v>
      </c>
      <c r="AJ125" s="13" t="str" cm="1">
        <f t="array" ref="AJ125:BG125">IF($C125="","",IFERROR(TRANSPOSE(_xlfn._xlws.FILTER(Listy!$D$2:$D$60,Listy!$C$2:$C$60=$C125)),""))</f>
        <v>Elektryczny (roczny)</v>
      </c>
      <c r="AK125" s="13" t="str">
        <v>Elektryczny (5-cio letni)</v>
      </c>
      <c r="AL125" s="13" t="str">
        <v>Systemy PPOŻ</v>
      </c>
      <c r="AM125" s="13" t="str">
        <v>Gaśnice</v>
      </c>
      <c r="AN125" s="13" t="str">
        <v>Klimatyzacja</v>
      </c>
      <c r="AO125" s="13" t="str">
        <v>Alarmy</v>
      </c>
      <c r="AP125" s="13" t="str">
        <v>Hydranty</v>
      </c>
      <c r="AQ125" s="13" t="str">
        <v xml:space="preserve">Rolety </v>
      </c>
      <c r="AR125" s="13" t="str">
        <v>Wentylacja</v>
      </c>
      <c r="AS125" s="13" t="str">
        <v>Wymiana filtrów</v>
      </c>
      <c r="AT125" s="13" t="str">
        <v>Regałów magazynowych</v>
      </c>
      <c r="AU125" s="13" t="str">
        <v>CRO</v>
      </c>
      <c r="AV125" s="13" t="str">
        <v>Mroźnia/Chłodnia</v>
      </c>
      <c r="AW125" s="13" t="str">
        <v>Regały chłodnicze</v>
      </c>
      <c r="AX125" s="13" t="str">
        <v>Separatory tłuszczu</v>
      </c>
      <c r="AY125" s="13" t="str">
        <v>Vendingi</v>
      </c>
      <c r="AZ125" s="13" t="str">
        <v>UDT (wózki widłowe, paleciaki)</v>
      </c>
      <c r="BA125" s="13" t="str">
        <v>BHP (drabiny, schodki, podesty)</v>
      </c>
      <c r="BB125" s="12" t="str">
        <v>Ansul</v>
      </c>
      <c r="BC125" s="12" t="str">
        <v>Okap</v>
      </c>
      <c r="BD125" s="12" t="str">
        <v>Brama garażowa</v>
      </c>
      <c r="BE125" s="12" t="str">
        <v>Żaluzje (gastro)</v>
      </c>
      <c r="BF125" s="12" t="str">
        <v>Bramki antykradzieżowe</v>
      </c>
      <c r="BG125" s="12" t="str">
        <v>Mycie jednostek klimatyzacji</v>
      </c>
    </row>
    <row r="126" spans="1:59" ht="25" customHeight="1" x14ac:dyDescent="0.35">
      <c r="A126" s="12" t="s">
        <v>9</v>
      </c>
      <c r="B126" s="12" t="s">
        <v>49</v>
      </c>
      <c r="C126" s="12" t="s">
        <v>93</v>
      </c>
      <c r="D126" s="12" t="s">
        <v>22</v>
      </c>
      <c r="E126" s="15">
        <v>46175</v>
      </c>
      <c r="F126" s="1">
        <v>3</v>
      </c>
      <c r="G126" s="15">
        <f t="shared" si="40"/>
        <v>46267</v>
      </c>
      <c r="H126" s="12" t="str">
        <f t="shared" ca="1" si="39"/>
        <v>OK</v>
      </c>
      <c r="I126" s="14"/>
      <c r="J126" s="1" t="e">
        <f>IF(COUNTA(A126:F2413)=0,"",IF(#REF!="","BRAK PROTOKOŁU","DODANY"))</f>
        <v>#REF!</v>
      </c>
      <c r="K126" s="1"/>
      <c r="M126" s="13" t="str" cm="1">
        <f t="array" ref="M126">IF($A126="","",IFERROR(TRANSPOSE(_xlfn._xlws.FILTER(Lokale!$C$3:$C$91,Lokale!$B$3:$B$91=$A126)),""))</f>
        <v>BA5 (Starter)</v>
      </c>
      <c r="AJ126" s="13" t="str" cm="1">
        <f t="array" ref="AJ126:BG126">IF($C126="","",IFERROR(TRANSPOSE(_xlfn._xlws.FILTER(Listy!$D$2:$D$60,Listy!$C$2:$C$60=$C126)),""))</f>
        <v>Elektryczny (roczny)</v>
      </c>
      <c r="AK126" s="13" t="str">
        <v>Elektryczny (5-cio letni)</v>
      </c>
      <c r="AL126" s="13" t="str">
        <v>Systemy PPOŻ</v>
      </c>
      <c r="AM126" s="13" t="str">
        <v>Gaśnice</v>
      </c>
      <c r="AN126" s="13" t="str">
        <v>Klimatyzacja</v>
      </c>
      <c r="AO126" s="13" t="str">
        <v>Alarmy</v>
      </c>
      <c r="AP126" s="13" t="str">
        <v>Hydranty</v>
      </c>
      <c r="AQ126" s="13" t="str">
        <v xml:space="preserve">Rolety </v>
      </c>
      <c r="AR126" s="13" t="str">
        <v>Wentylacja</v>
      </c>
      <c r="AS126" s="13" t="str">
        <v>Wymiana filtrów</v>
      </c>
      <c r="AT126" s="13" t="str">
        <v>Regałów magazynowych</v>
      </c>
      <c r="AU126" s="13" t="str">
        <v>CRO</v>
      </c>
      <c r="AV126" s="13" t="str">
        <v>Mroźnia/Chłodnia</v>
      </c>
      <c r="AW126" s="13" t="str">
        <v>Regały chłodnicze</v>
      </c>
      <c r="AX126" s="13" t="str">
        <v>Separatory tłuszczu</v>
      </c>
      <c r="AY126" s="13" t="str">
        <v>Vendingi</v>
      </c>
      <c r="AZ126" s="13" t="str">
        <v>UDT (wózki widłowe, paleciaki)</v>
      </c>
      <c r="BA126" s="13" t="str">
        <v>BHP (drabiny, schodki, podesty)</v>
      </c>
      <c r="BB126" s="12" t="str">
        <v>Ansul</v>
      </c>
      <c r="BC126" s="12" t="str">
        <v>Okap</v>
      </c>
      <c r="BD126" s="12" t="str">
        <v>Brama garażowa</v>
      </c>
      <c r="BE126" s="12" t="str">
        <v>Żaluzje (gastro)</v>
      </c>
      <c r="BF126" s="12" t="str">
        <v>Bramki antykradzieżowe</v>
      </c>
      <c r="BG126" s="12" t="str">
        <v>Mycie jednostek klimatyzacji</v>
      </c>
    </row>
    <row r="127" spans="1:59" ht="25" customHeight="1" x14ac:dyDescent="0.35">
      <c r="A127" s="12" t="s">
        <v>11</v>
      </c>
      <c r="B127" s="12" t="s">
        <v>57</v>
      </c>
      <c r="C127" s="12" t="s">
        <v>93</v>
      </c>
      <c r="D127" s="12" t="s">
        <v>22</v>
      </c>
      <c r="E127" s="15">
        <v>46175</v>
      </c>
      <c r="F127" s="1">
        <v>3</v>
      </c>
      <c r="G127" s="15">
        <f t="shared" si="40"/>
        <v>46267</v>
      </c>
      <c r="H127" s="12" t="str">
        <f t="shared" ca="1" si="39"/>
        <v>OK</v>
      </c>
      <c r="I127" s="14"/>
      <c r="J127" s="1" t="e">
        <f>IF(COUNTA(A127:F2414)=0,"",IF(#REF!="","BRAK PROTOKOŁU","DODANY"))</f>
        <v>#REF!</v>
      </c>
      <c r="K127" s="1"/>
      <c r="M127" s="13" t="str" cm="1">
        <f t="array" ref="M127:N127">IF($A127="","",IFERROR(TRANSPOSE(_xlfn._xlws.FILTER(Lokale!$C$3:$C$91,Lokale!$B$3:$B$91=$A127)),""))</f>
        <v>BZ1 (Starter)</v>
      </c>
      <c r="N127" s="13" t="str">
        <v>BZ7 (Ministore)</v>
      </c>
      <c r="AJ127" s="13" t="str" cm="1">
        <f t="array" ref="AJ127:BG127">IF($C127="","",IFERROR(TRANSPOSE(_xlfn._xlws.FILTER(Listy!$D$2:$D$60,Listy!$C$2:$C$60=$C127)),""))</f>
        <v>Elektryczny (roczny)</v>
      </c>
      <c r="AK127" s="13" t="str">
        <v>Elektryczny (5-cio letni)</v>
      </c>
      <c r="AL127" s="13" t="str">
        <v>Systemy PPOŻ</v>
      </c>
      <c r="AM127" s="13" t="str">
        <v>Gaśnice</v>
      </c>
      <c r="AN127" s="13" t="str">
        <v>Klimatyzacja</v>
      </c>
      <c r="AO127" s="13" t="str">
        <v>Alarmy</v>
      </c>
      <c r="AP127" s="13" t="str">
        <v>Hydranty</v>
      </c>
      <c r="AQ127" s="13" t="str">
        <v xml:space="preserve">Rolety </v>
      </c>
      <c r="AR127" s="13" t="str">
        <v>Wentylacja</v>
      </c>
      <c r="AS127" s="13" t="str">
        <v>Wymiana filtrów</v>
      </c>
      <c r="AT127" s="13" t="str">
        <v>Regałów magazynowych</v>
      </c>
      <c r="AU127" s="13" t="str">
        <v>CRO</v>
      </c>
      <c r="AV127" s="13" t="str">
        <v>Mroźnia/Chłodnia</v>
      </c>
      <c r="AW127" s="13" t="str">
        <v>Regały chłodnicze</v>
      </c>
      <c r="AX127" s="13" t="str">
        <v>Separatory tłuszczu</v>
      </c>
      <c r="AY127" s="13" t="str">
        <v>Vendingi</v>
      </c>
      <c r="AZ127" s="13" t="str">
        <v>UDT (wózki widłowe, paleciaki)</v>
      </c>
      <c r="BA127" s="13" t="str">
        <v>BHP (drabiny, schodki, podesty)</v>
      </c>
      <c r="BB127" s="12" t="str">
        <v>Ansul</v>
      </c>
      <c r="BC127" s="12" t="str">
        <v>Okap</v>
      </c>
      <c r="BD127" s="12" t="str">
        <v>Brama garażowa</v>
      </c>
      <c r="BE127" s="12" t="str">
        <v>Żaluzje (gastro)</v>
      </c>
      <c r="BF127" s="12" t="str">
        <v>Bramki antykradzieżowe</v>
      </c>
      <c r="BG127" s="12" t="str">
        <v>Mycie jednostek klimatyzacji</v>
      </c>
    </row>
    <row r="128" spans="1:59" ht="25" customHeight="1" x14ac:dyDescent="0.35">
      <c r="A128" s="12" t="s">
        <v>2</v>
      </c>
      <c r="B128" s="12" t="s">
        <v>27</v>
      </c>
      <c r="C128" s="12" t="s">
        <v>93</v>
      </c>
      <c r="D128" s="12" t="s">
        <v>22</v>
      </c>
      <c r="E128" s="15">
        <v>46175</v>
      </c>
      <c r="F128" s="1">
        <v>3</v>
      </c>
      <c r="G128" s="15">
        <f t="shared" si="40"/>
        <v>46267</v>
      </c>
      <c r="H128" s="12" t="str">
        <f t="shared" ca="1" si="39"/>
        <v>OK</v>
      </c>
      <c r="I128" s="14"/>
      <c r="J128" s="1" t="e">
        <f>IF(COUNTA(A128:F2415)=0,"",IF(#REF!="","BRAK PROTOKOŁU","DODANY"))</f>
        <v>#REF!</v>
      </c>
      <c r="K128" s="1"/>
      <c r="M128" s="13" t="str" cm="1">
        <f t="array" ref="M128:O128">IF($A128="","",IFERROR(TRANSPOSE(_xlfn._xlws.FILTER(Lokale!$C$3:$C$91,Lokale!$B$3:$B$91=$A128)),""))</f>
        <v>B75 (Multistore)</v>
      </c>
      <c r="N128" s="13" t="str">
        <v>B38 (Ministore)</v>
      </c>
      <c r="O128" s="13" t="str">
        <v>Wszystkie lokale</v>
      </c>
      <c r="AJ128" s="13" t="str" cm="1">
        <f t="array" ref="AJ128:BG128">IF($C128="","",IFERROR(TRANSPOSE(_xlfn._xlws.FILTER(Listy!$D$2:$D$60,Listy!$C$2:$C$60=$C128)),""))</f>
        <v>Elektryczny (roczny)</v>
      </c>
      <c r="AK128" s="13" t="str">
        <v>Elektryczny (5-cio letni)</v>
      </c>
      <c r="AL128" s="13" t="str">
        <v>Systemy PPOŻ</v>
      </c>
      <c r="AM128" s="13" t="str">
        <v>Gaśnice</v>
      </c>
      <c r="AN128" s="13" t="str">
        <v>Klimatyzacja</v>
      </c>
      <c r="AO128" s="13" t="str">
        <v>Alarmy</v>
      </c>
      <c r="AP128" s="13" t="str">
        <v>Hydranty</v>
      </c>
      <c r="AQ128" s="13" t="str">
        <v xml:space="preserve">Rolety </v>
      </c>
      <c r="AR128" s="13" t="str">
        <v>Wentylacja</v>
      </c>
      <c r="AS128" s="13" t="str">
        <v>Wymiana filtrów</v>
      </c>
      <c r="AT128" s="13" t="str">
        <v>Regałów magazynowych</v>
      </c>
      <c r="AU128" s="13" t="str">
        <v>CRO</v>
      </c>
      <c r="AV128" s="13" t="str">
        <v>Mroźnia/Chłodnia</v>
      </c>
      <c r="AW128" s="13" t="str">
        <v>Regały chłodnicze</v>
      </c>
      <c r="AX128" s="13" t="str">
        <v>Separatory tłuszczu</v>
      </c>
      <c r="AY128" s="13" t="str">
        <v>Vendingi</v>
      </c>
      <c r="AZ128" s="13" t="str">
        <v>UDT (wózki widłowe, paleciaki)</v>
      </c>
      <c r="BA128" s="13" t="str">
        <v>BHP (drabiny, schodki, podesty)</v>
      </c>
      <c r="BB128" s="12" t="str">
        <v>Ansul</v>
      </c>
      <c r="BC128" s="12" t="str">
        <v>Okap</v>
      </c>
      <c r="BD128" s="12" t="str">
        <v>Brama garażowa</v>
      </c>
      <c r="BE128" s="12" t="str">
        <v>Żaluzje (gastro)</v>
      </c>
      <c r="BF128" s="12" t="str">
        <v>Bramki antykradzieżowe</v>
      </c>
      <c r="BG128" s="12" t="str">
        <v>Mycie jednostek klimatyzacji</v>
      </c>
    </row>
    <row r="129" spans="6:36" ht="25" customHeight="1" x14ac:dyDescent="0.35">
      <c r="F129" s="1"/>
      <c r="G129" s="15" t="str">
        <f t="shared" si="40"/>
        <v/>
      </c>
      <c r="H129" s="12" t="str">
        <f t="shared" ca="1" si="39"/>
        <v/>
      </c>
      <c r="I129" s="14"/>
      <c r="J129" s="1" t="str">
        <f>IF(COUNTA(A129:F2416)=0,"",IF(#REF!="","BRAK PROTOKOŁU","DODANY"))</f>
        <v/>
      </c>
      <c r="K129" s="1"/>
      <c r="M129" s="13" t="str" cm="1">
        <f t="array" ref="M129">IF($A129="","",IFERROR(TRANSPOSE(_xlfn._xlws.FILTER(Lokale!$C$3:$C$91,Lokale!$B$3:$B$91=$A129)),""))</f>
        <v/>
      </c>
      <c r="AJ129" s="13" t="str" cm="1">
        <f t="array" ref="AJ129">IF($C129="","",IFERROR(TRANSPOSE(_xlfn._xlws.FILTER(Listy!$D$2:$D$60,Listy!$C$2:$C$60=$C129)),""))</f>
        <v/>
      </c>
    </row>
    <row r="130" spans="6:36" ht="25" customHeight="1" x14ac:dyDescent="0.35">
      <c r="F130" s="1"/>
      <c r="G130" s="15" t="str">
        <f t="shared" si="40"/>
        <v/>
      </c>
      <c r="H130" s="12" t="str">
        <f t="shared" ca="1" si="39"/>
        <v/>
      </c>
      <c r="I130" s="14"/>
      <c r="J130" s="1" t="str">
        <f>IF(COUNTA(A130:F2417)=0,"",IF(#REF!="","BRAK PROTOKOŁU","DODANY"))</f>
        <v/>
      </c>
      <c r="K130" s="1"/>
      <c r="M130" s="13" t="str" cm="1">
        <f t="array" ref="M130">IF($A130="","",IFERROR(TRANSPOSE(_xlfn._xlws.FILTER(Lokale!$C$3:$C$91,Lokale!$B$3:$B$91=$A130)),""))</f>
        <v/>
      </c>
      <c r="AJ130" s="13" t="str" cm="1">
        <f t="array" ref="AJ130">IF($C130="","",IFERROR(TRANSPOSE(_xlfn._xlws.FILTER(Listy!$D$2:$D$60,Listy!$C$2:$C$60=$C130)),""))</f>
        <v/>
      </c>
    </row>
    <row r="131" spans="6:36" ht="25" customHeight="1" x14ac:dyDescent="0.35">
      <c r="F131" s="1"/>
      <c r="G131" s="15" t="str">
        <f t="shared" si="40"/>
        <v/>
      </c>
      <c r="H131" s="12" t="str">
        <f t="shared" ca="1" si="39"/>
        <v/>
      </c>
      <c r="I131" s="14"/>
      <c r="J131" s="1" t="str">
        <f>IF(COUNTA(A131:F2418)=0,"",IF(#REF!="","BRAK PROTOKOŁU","DODANY"))</f>
        <v/>
      </c>
      <c r="K131" s="1"/>
      <c r="M131" s="13" t="str" cm="1">
        <f t="array" ref="M131">IF($A131="","",IFERROR(TRANSPOSE(_xlfn._xlws.FILTER(Lokale!$C$3:$C$91,Lokale!$B$3:$B$91=$A131)),""))</f>
        <v/>
      </c>
      <c r="AJ131" s="13" t="str" cm="1">
        <f t="array" ref="AJ131">IF($C131="","",IFERROR(TRANSPOSE(_xlfn._xlws.FILTER(Listy!$D$2:$D$60,Listy!$C$2:$C$60=$C131)),""))</f>
        <v/>
      </c>
    </row>
    <row r="132" spans="6:36" ht="25" customHeight="1" x14ac:dyDescent="0.35">
      <c r="F132" s="1"/>
      <c r="G132" s="15" t="str">
        <f t="shared" si="40"/>
        <v/>
      </c>
      <c r="H132" s="12" t="str">
        <f t="shared" ca="1" si="39"/>
        <v/>
      </c>
      <c r="I132" s="14"/>
      <c r="J132" s="1" t="str">
        <f>IF(COUNTA(A132:F2419)=0,"",IF(#REF!="","BRAK PROTOKOŁU","DODANY"))</f>
        <v/>
      </c>
      <c r="K132" s="1"/>
      <c r="M132" s="13" t="str" cm="1">
        <f t="array" ref="M132">IF($A132="","",IFERROR(TRANSPOSE(_xlfn._xlws.FILTER(Lokale!$C$3:$C$91,Lokale!$B$3:$B$91=$A132)),""))</f>
        <v/>
      </c>
      <c r="AJ132" s="13" t="str" cm="1">
        <f t="array" ref="AJ132">IF($C132="","",IFERROR(TRANSPOSE(_xlfn._xlws.FILTER(Listy!$D$2:$D$60,Listy!$C$2:$C$60=$C132)),""))</f>
        <v/>
      </c>
    </row>
    <row r="133" spans="6:36" ht="25" customHeight="1" x14ac:dyDescent="0.35">
      <c r="G133" s="15" t="str">
        <f t="shared" si="40"/>
        <v/>
      </c>
      <c r="H133" s="12" t="str">
        <f t="shared" ref="H133:H161" ca="1" si="41">IF(G133="","",IF(G133&lt;TODAY(),"PO TERMINIE",IF(G133&lt;=TODAY()+14,"DO WYKONANIA","OK")))</f>
        <v/>
      </c>
      <c r="I133" s="14"/>
      <c r="J133" s="1" t="str">
        <f>IF(COUNTA(A133:F2420)=0,"",IF(#REF!="","BRAK PROTOKOŁU","DODANY"))</f>
        <v/>
      </c>
      <c r="K133" s="1"/>
      <c r="M133" s="13" t="str" cm="1">
        <f t="array" ref="M133">IF($A133="","",IFERROR(TRANSPOSE(_xlfn._xlws.FILTER(Lokale!$C$3:$C$91,Lokale!$B$3:$B$91=$A133)),""))</f>
        <v/>
      </c>
      <c r="AJ133" s="13" t="str" cm="1">
        <f t="array" ref="AJ133">IF($C133="","",IFERROR(TRANSPOSE(_xlfn._xlws.FILTER(Listy!$D$2:$D$60,Listy!$C$2:$C$60=$C133)),""))</f>
        <v/>
      </c>
    </row>
    <row r="134" spans="6:36" ht="25" customHeight="1" x14ac:dyDescent="0.35">
      <c r="G134" s="15" t="str">
        <f t="shared" si="40"/>
        <v/>
      </c>
      <c r="H134" s="12" t="str">
        <f t="shared" ca="1" si="41"/>
        <v/>
      </c>
      <c r="I134" s="14"/>
      <c r="J134" s="1" t="str">
        <f>IF(COUNTA(A134:F2421)=0,"",IF(#REF!="","BRAK PROTOKOŁU","DODANY"))</f>
        <v/>
      </c>
      <c r="K134" s="1"/>
      <c r="M134" s="13" t="str" cm="1">
        <f t="array" ref="M134">IF($A134="","",IFERROR(TRANSPOSE(_xlfn._xlws.FILTER(Lokale!$C$3:$C$91,Lokale!$B$3:$B$91=$A134)),""))</f>
        <v/>
      </c>
      <c r="AJ134" s="13" t="str" cm="1">
        <f t="array" ref="AJ134">IF($C134="","",IFERROR(TRANSPOSE(_xlfn._xlws.FILTER(Listy!$D$2:$D$60,Listy!$C$2:$C$60=$C134)),""))</f>
        <v/>
      </c>
    </row>
    <row r="135" spans="6:36" ht="25" customHeight="1" x14ac:dyDescent="0.35">
      <c r="G135" s="15" t="str">
        <f t="shared" si="40"/>
        <v/>
      </c>
      <c r="H135" s="12" t="str">
        <f t="shared" ca="1" si="41"/>
        <v/>
      </c>
      <c r="I135" s="14"/>
      <c r="J135" s="1" t="str">
        <f>IF(COUNTA(A135:F2422)=0,"",IF(#REF!="","BRAK PROTOKOŁU","DODANY"))</f>
        <v/>
      </c>
      <c r="K135" s="1"/>
      <c r="M135" s="13" t="str" cm="1">
        <f t="array" ref="M135">IF($A135="","",IFERROR(TRANSPOSE(_xlfn._xlws.FILTER(Lokale!$C$3:$C$91,Lokale!$B$3:$B$91=$A135)),""))</f>
        <v/>
      </c>
      <c r="AJ135" s="13" t="str" cm="1">
        <f t="array" ref="AJ135">IF($C135="","",IFERROR(TRANSPOSE(_xlfn._xlws.FILTER(Listy!$D$2:$D$60,Listy!$C$2:$C$60=$C135)),""))</f>
        <v/>
      </c>
    </row>
    <row r="136" spans="6:36" ht="25" customHeight="1" x14ac:dyDescent="0.35">
      <c r="G136" s="15" t="str">
        <f t="shared" si="40"/>
        <v/>
      </c>
      <c r="H136" s="12" t="str">
        <f t="shared" ca="1" si="41"/>
        <v/>
      </c>
      <c r="I136" s="14"/>
      <c r="J136" s="1" t="str">
        <f>IF(COUNTA(A136:F2423)=0,"",IF(#REF!="","BRAK PROTOKOŁU","DODANY"))</f>
        <v/>
      </c>
      <c r="K136" s="1"/>
      <c r="M136" s="13" t="str" cm="1">
        <f t="array" ref="M136">IF($A136="","",IFERROR(TRANSPOSE(_xlfn._xlws.FILTER(Lokale!$C$3:$C$91,Lokale!$B$3:$B$91=$A136)),""))</f>
        <v/>
      </c>
      <c r="AJ136" s="13" t="str" cm="1">
        <f t="array" ref="AJ136">IF($C136="","",IFERROR(TRANSPOSE(_xlfn._xlws.FILTER(Listy!$D$2:$D$60,Listy!$C$2:$C$60=$C136)),""))</f>
        <v/>
      </c>
    </row>
    <row r="137" spans="6:36" ht="25" customHeight="1" x14ac:dyDescent="0.35">
      <c r="G137" s="15" t="str">
        <f t="shared" si="40"/>
        <v/>
      </c>
      <c r="H137" s="12" t="str">
        <f t="shared" ca="1" si="41"/>
        <v/>
      </c>
      <c r="I137" s="14"/>
      <c r="J137" s="1" t="str">
        <f>IF(COUNTA(A137:F2424)=0,"",IF(#REF!="","BRAK PROTOKOŁU","DODANY"))</f>
        <v/>
      </c>
      <c r="K137" s="1"/>
      <c r="M137" s="13" t="str" cm="1">
        <f t="array" ref="M137">IF($A137="","",IFERROR(TRANSPOSE(_xlfn._xlws.FILTER(Lokale!$C$3:$C$91,Lokale!$B$3:$B$91=$A137)),""))</f>
        <v/>
      </c>
      <c r="AJ137" s="13" t="str" cm="1">
        <f t="array" ref="AJ137">IF($C137="","",IFERROR(TRANSPOSE(_xlfn._xlws.FILTER(Listy!$D$2:$D$60,Listy!$C$2:$C$60=$C137)),""))</f>
        <v/>
      </c>
    </row>
    <row r="138" spans="6:36" ht="25" customHeight="1" x14ac:dyDescent="0.35">
      <c r="G138" s="15" t="str">
        <f t="shared" si="40"/>
        <v/>
      </c>
      <c r="H138" s="12" t="str">
        <f t="shared" ca="1" si="41"/>
        <v/>
      </c>
      <c r="I138" s="14"/>
      <c r="J138" s="1" t="str">
        <f>IF(COUNTA(A138:F2425)=0,"",IF(#REF!="","BRAK PROTOKOŁU","DODANY"))</f>
        <v/>
      </c>
      <c r="K138" s="1"/>
      <c r="M138" s="13" t="str" cm="1">
        <f t="array" ref="M138">IF($A138="","",IFERROR(TRANSPOSE(_xlfn._xlws.FILTER(Lokale!$C$3:$C$91,Lokale!$B$3:$B$91=$A138)),""))</f>
        <v/>
      </c>
      <c r="AJ138" s="13" t="str" cm="1">
        <f t="array" ref="AJ138">IF($C138="","",IFERROR(TRANSPOSE(_xlfn._xlws.FILTER(Listy!$D$2:$D$60,Listy!$C$2:$C$60=$C138)),""))</f>
        <v/>
      </c>
    </row>
    <row r="139" spans="6:36" ht="25" customHeight="1" x14ac:dyDescent="0.35">
      <c r="G139" s="15" t="str">
        <f t="shared" si="40"/>
        <v/>
      </c>
      <c r="H139" s="12" t="str">
        <f t="shared" ca="1" si="41"/>
        <v/>
      </c>
      <c r="I139" s="14"/>
      <c r="J139" s="1" t="str">
        <f>IF(COUNTA(A139:F2426)=0,"",IF(#REF!="","BRAK PROTOKOŁU","DODANY"))</f>
        <v/>
      </c>
      <c r="K139" s="1"/>
      <c r="M139" s="13" t="str" cm="1">
        <f t="array" ref="M139">IF($A139="","",IFERROR(TRANSPOSE(_xlfn._xlws.FILTER(Lokale!$C$3:$C$91,Lokale!$B$3:$B$91=$A139)),""))</f>
        <v/>
      </c>
      <c r="AJ139" s="13" t="str" cm="1">
        <f t="array" ref="AJ139">IF($C139="","",IFERROR(TRANSPOSE(_xlfn._xlws.FILTER(Listy!$D$2:$D$60,Listy!$C$2:$C$60=$C139)),""))</f>
        <v/>
      </c>
    </row>
    <row r="140" spans="6:36" ht="25" customHeight="1" x14ac:dyDescent="0.35">
      <c r="G140" s="15" t="str">
        <f t="shared" si="40"/>
        <v/>
      </c>
      <c r="H140" s="12" t="str">
        <f t="shared" ca="1" si="41"/>
        <v/>
      </c>
      <c r="I140" s="14"/>
      <c r="J140" s="1" t="str">
        <f>IF(COUNTA(A140:F2427)=0,"",IF(#REF!="","BRAK PROTOKOŁU","DODANY"))</f>
        <v/>
      </c>
      <c r="K140" s="1"/>
      <c r="M140" s="13" t="str" cm="1">
        <f t="array" ref="M140">IF($A140="","",IFERROR(TRANSPOSE(_xlfn._xlws.FILTER(Lokale!$C$3:$C$91,Lokale!$B$3:$B$91=$A140)),""))</f>
        <v/>
      </c>
      <c r="AJ140" s="13" t="str" cm="1">
        <f t="array" ref="AJ140">IF($C140="","",IFERROR(TRANSPOSE(_xlfn._xlws.FILTER(Listy!$D$2:$D$60,Listy!$C$2:$C$60=$C140)),""))</f>
        <v/>
      </c>
    </row>
    <row r="141" spans="6:36" ht="25" customHeight="1" x14ac:dyDescent="0.35">
      <c r="G141" s="15" t="str">
        <f t="shared" si="40"/>
        <v/>
      </c>
      <c r="H141" s="12" t="str">
        <f t="shared" ca="1" si="41"/>
        <v/>
      </c>
      <c r="I141" s="14"/>
      <c r="J141" s="1" t="str">
        <f>IF(COUNTA(A141:F2428)=0,"",IF(#REF!="","BRAK PROTOKOŁU","DODANY"))</f>
        <v/>
      </c>
      <c r="K141" s="1"/>
      <c r="M141" s="13" t="str" cm="1">
        <f t="array" ref="M141">IF($A141="","",IFERROR(TRANSPOSE(_xlfn._xlws.FILTER(Lokale!$C$3:$C$91,Lokale!$B$3:$B$91=$A141)),""))</f>
        <v/>
      </c>
      <c r="AJ141" s="13" t="str" cm="1">
        <f t="array" ref="AJ141">IF($C141="","",IFERROR(TRANSPOSE(_xlfn._xlws.FILTER(Listy!$D$2:$D$60,Listy!$C$2:$C$60=$C141)),""))</f>
        <v/>
      </c>
    </row>
    <row r="142" spans="6:36" ht="25" customHeight="1" x14ac:dyDescent="0.35">
      <c r="G142" s="15" t="str">
        <f t="shared" si="40"/>
        <v/>
      </c>
      <c r="H142" s="12" t="str">
        <f t="shared" ca="1" si="41"/>
        <v/>
      </c>
      <c r="I142" s="14"/>
      <c r="J142" s="1" t="str">
        <f>IF(COUNTA(A142:F2429)=0,"",IF(#REF!="","BRAK PROTOKOŁU","DODANY"))</f>
        <v/>
      </c>
      <c r="K142" s="1"/>
      <c r="M142" s="13" t="str" cm="1">
        <f t="array" ref="M142">IF($A142="","",IFERROR(TRANSPOSE(_xlfn._xlws.FILTER(Lokale!$C$3:$C$91,Lokale!$B$3:$B$91=$A142)),""))</f>
        <v/>
      </c>
      <c r="AJ142" s="13" t="str" cm="1">
        <f t="array" ref="AJ142">IF($C142="","",IFERROR(TRANSPOSE(_xlfn._xlws.FILTER(Listy!$D$2:$D$60,Listy!$C$2:$C$60=$C142)),""))</f>
        <v/>
      </c>
    </row>
    <row r="143" spans="6:36" ht="25" customHeight="1" x14ac:dyDescent="0.35">
      <c r="G143" s="15" t="str">
        <f t="shared" si="40"/>
        <v/>
      </c>
      <c r="H143" s="12" t="str">
        <f t="shared" ca="1" si="41"/>
        <v/>
      </c>
      <c r="I143" s="14"/>
      <c r="J143" s="1" t="str">
        <f>IF(COUNTA(A143:F2430)=0,"",IF(#REF!="","BRAK PROTOKOŁU","DODANY"))</f>
        <v/>
      </c>
      <c r="K143" s="1"/>
      <c r="M143" s="13" t="str" cm="1">
        <f t="array" ref="M143">IF($A143="","",IFERROR(TRANSPOSE(_xlfn._xlws.FILTER(Lokale!$C$3:$C$91,Lokale!$B$3:$B$91=$A143)),""))</f>
        <v/>
      </c>
      <c r="AJ143" s="13" t="str" cm="1">
        <f t="array" ref="AJ143">IF($C143="","",IFERROR(TRANSPOSE(_xlfn._xlws.FILTER(Listy!$D$2:$D$60,Listy!$C$2:$C$60=$C143)),""))</f>
        <v/>
      </c>
    </row>
    <row r="144" spans="6:36" ht="25" customHeight="1" x14ac:dyDescent="0.35">
      <c r="G144" s="15" t="str">
        <f t="shared" si="40"/>
        <v/>
      </c>
      <c r="H144" s="12" t="str">
        <f t="shared" ca="1" si="41"/>
        <v/>
      </c>
      <c r="I144" s="14"/>
      <c r="J144" s="1" t="str">
        <f>IF(COUNTA(A144:F2431)=0,"",IF(#REF!="","BRAK PROTOKOŁU","DODANY"))</f>
        <v/>
      </c>
      <c r="K144" s="1"/>
      <c r="M144" s="13" t="str" cm="1">
        <f t="array" ref="M144">IF($A144="","",IFERROR(TRANSPOSE(_xlfn._xlws.FILTER(Lokale!$C$3:$C$91,Lokale!$B$3:$B$91=$A144)),""))</f>
        <v/>
      </c>
      <c r="AJ144" s="13" t="str" cm="1">
        <f t="array" ref="AJ144">IF($C144="","",IFERROR(TRANSPOSE(_xlfn._xlws.FILTER(Listy!$D$2:$D$60,Listy!$C$2:$C$60=$C144)),""))</f>
        <v/>
      </c>
    </row>
    <row r="145" spans="7:36" ht="25" customHeight="1" x14ac:dyDescent="0.35">
      <c r="G145" s="15" t="str">
        <f t="shared" si="40"/>
        <v/>
      </c>
      <c r="H145" s="12" t="str">
        <f t="shared" ca="1" si="41"/>
        <v/>
      </c>
      <c r="I145" s="14"/>
      <c r="J145" s="1" t="str">
        <f>IF(COUNTA(A145:F2432)=0,"",IF(#REF!="","BRAK PROTOKOŁU","DODANY"))</f>
        <v/>
      </c>
      <c r="K145" s="1"/>
      <c r="M145" s="13" t="str" cm="1">
        <f t="array" ref="M145">IF($A145="","",IFERROR(TRANSPOSE(_xlfn._xlws.FILTER(Lokale!$C$3:$C$91,Lokale!$B$3:$B$91=$A145)),""))</f>
        <v/>
      </c>
      <c r="AJ145" s="13" t="str" cm="1">
        <f t="array" ref="AJ145">IF($C145="","",IFERROR(TRANSPOSE(_xlfn._xlws.FILTER(Listy!$D$2:$D$60,Listy!$C$2:$C$60=$C145)),""))</f>
        <v/>
      </c>
    </row>
    <row r="146" spans="7:36" ht="25" customHeight="1" x14ac:dyDescent="0.35">
      <c r="G146" s="15" t="str">
        <f t="shared" si="40"/>
        <v/>
      </c>
      <c r="H146" s="12" t="str">
        <f t="shared" ca="1" si="41"/>
        <v/>
      </c>
      <c r="I146" s="14"/>
      <c r="J146" s="1" t="str">
        <f>IF(COUNTA(A146:F2433)=0,"",IF(#REF!="","BRAK PROTOKOŁU","DODANY"))</f>
        <v/>
      </c>
      <c r="K146" s="1"/>
      <c r="M146" s="13" t="str" cm="1">
        <f t="array" ref="M146">IF($A146="","",IFERROR(TRANSPOSE(_xlfn._xlws.FILTER(Lokale!$C$3:$C$91,Lokale!$B$3:$B$91=$A146)),""))</f>
        <v/>
      </c>
      <c r="AJ146" s="13" t="str" cm="1">
        <f t="array" ref="AJ146">IF($C146="","",IFERROR(TRANSPOSE(_xlfn._xlws.FILTER(Listy!$D$2:$D$60,Listy!$C$2:$C$60=$C146)),""))</f>
        <v/>
      </c>
    </row>
    <row r="147" spans="7:36" ht="25" customHeight="1" x14ac:dyDescent="0.35">
      <c r="G147" s="15" t="str">
        <f t="shared" si="40"/>
        <v/>
      </c>
      <c r="H147" s="12" t="str">
        <f t="shared" ca="1" si="41"/>
        <v/>
      </c>
      <c r="I147" s="14"/>
      <c r="J147" s="1" t="str">
        <f>IF(COUNTA(A147:F2434)=0,"",IF(#REF!="","BRAK PROTOKOŁU","DODANY"))</f>
        <v/>
      </c>
      <c r="K147" s="1"/>
      <c r="M147" s="13" t="str" cm="1">
        <f t="array" ref="M147">IF($A147="","",IFERROR(TRANSPOSE(_xlfn._xlws.FILTER(Lokale!$C$3:$C$91,Lokale!$B$3:$B$91=$A147)),""))</f>
        <v/>
      </c>
      <c r="AJ147" s="13" t="str" cm="1">
        <f t="array" ref="AJ147">IF($C147="","",IFERROR(TRANSPOSE(_xlfn._xlws.FILTER(Listy!$D$2:$D$60,Listy!$C$2:$C$60=$C147)),""))</f>
        <v/>
      </c>
    </row>
    <row r="148" spans="7:36" ht="25" customHeight="1" x14ac:dyDescent="0.35">
      <c r="G148" s="15" t="str">
        <f t="shared" si="40"/>
        <v/>
      </c>
      <c r="H148" s="12" t="str">
        <f t="shared" ca="1" si="41"/>
        <v/>
      </c>
      <c r="I148" s="14"/>
      <c r="J148" s="1" t="str">
        <f>IF(COUNTA(A148:F2435)=0,"",IF(#REF!="","BRAK PROTOKOŁU","DODANY"))</f>
        <v/>
      </c>
      <c r="K148" s="1"/>
      <c r="M148" s="13" t="str" cm="1">
        <f t="array" ref="M148">IF($A148="","",IFERROR(TRANSPOSE(_xlfn._xlws.FILTER(Lokale!$C$3:$C$91,Lokale!$B$3:$B$91=$A148)),""))</f>
        <v/>
      </c>
      <c r="AJ148" s="13" t="str" cm="1">
        <f t="array" ref="AJ148">IF($C148="","",IFERROR(TRANSPOSE(_xlfn._xlws.FILTER(Listy!$D$2:$D$60,Listy!$C$2:$C$60=$C148)),""))</f>
        <v/>
      </c>
    </row>
    <row r="149" spans="7:36" ht="25" customHeight="1" x14ac:dyDescent="0.35">
      <c r="G149" s="15" t="str">
        <f t="shared" si="40"/>
        <v/>
      </c>
      <c r="H149" s="12" t="str">
        <f t="shared" ca="1" si="41"/>
        <v/>
      </c>
      <c r="I149" s="14"/>
      <c r="J149" s="1" t="str">
        <f>IF(COUNTA(A149:F2436)=0,"",IF(#REF!="","BRAK PROTOKOŁU","DODANY"))</f>
        <v/>
      </c>
      <c r="K149" s="1"/>
      <c r="M149" s="13" t="str" cm="1">
        <f t="array" ref="M149">IF($A149="","",IFERROR(TRANSPOSE(_xlfn._xlws.FILTER(Lokale!$C$3:$C$91,Lokale!$B$3:$B$91=$A149)),""))</f>
        <v/>
      </c>
      <c r="AJ149" s="13" t="str" cm="1">
        <f t="array" ref="AJ149">IF($C149="","",IFERROR(TRANSPOSE(_xlfn._xlws.FILTER(Listy!$D$2:$D$60,Listy!$C$2:$C$60=$C149)),""))</f>
        <v/>
      </c>
    </row>
    <row r="150" spans="7:36" ht="25" customHeight="1" x14ac:dyDescent="0.35">
      <c r="G150" s="15" t="str">
        <f t="shared" si="40"/>
        <v/>
      </c>
      <c r="H150" s="12" t="str">
        <f t="shared" ca="1" si="41"/>
        <v/>
      </c>
      <c r="I150" s="14"/>
      <c r="J150" s="1" t="str">
        <f>IF(COUNTA(A150:F2437)=0,"",IF(#REF!="","BRAK PROTOKOŁU","DODANY"))</f>
        <v/>
      </c>
      <c r="K150" s="1"/>
      <c r="M150" s="13" t="str" cm="1">
        <f t="array" ref="M150">IF($A150="","",IFERROR(TRANSPOSE(_xlfn._xlws.FILTER(Lokale!$C$3:$C$91,Lokale!$B$3:$B$91=$A150)),""))</f>
        <v/>
      </c>
      <c r="AJ150" s="13" t="str" cm="1">
        <f t="array" ref="AJ150">IF($C150="","",IFERROR(TRANSPOSE(_xlfn._xlws.FILTER(Listy!$D$2:$D$60,Listy!$C$2:$C$60=$C150)),""))</f>
        <v/>
      </c>
    </row>
    <row r="151" spans="7:36" ht="25" customHeight="1" x14ac:dyDescent="0.35">
      <c r="G151" s="15" t="str">
        <f t="shared" si="40"/>
        <v/>
      </c>
      <c r="H151" s="12" t="str">
        <f t="shared" ca="1" si="41"/>
        <v/>
      </c>
      <c r="I151" s="14"/>
      <c r="J151" s="1" t="str">
        <f>IF(COUNTA(A151:F2438)=0,"",IF(#REF!="","BRAK PROTOKOŁU","DODANY"))</f>
        <v/>
      </c>
      <c r="K151" s="1"/>
      <c r="M151" s="13" t="str" cm="1">
        <f t="array" ref="M151">IF($A151="","",IFERROR(TRANSPOSE(_xlfn._xlws.FILTER(Lokale!$C$3:$C$91,Lokale!$B$3:$B$91=$A151)),""))</f>
        <v/>
      </c>
      <c r="AJ151" s="13" t="str" cm="1">
        <f t="array" ref="AJ151">IF($C151="","",IFERROR(TRANSPOSE(_xlfn._xlws.FILTER(Listy!$D$2:$D$60,Listy!$C$2:$C$60=$C151)),""))</f>
        <v/>
      </c>
    </row>
    <row r="152" spans="7:36" ht="25" customHeight="1" x14ac:dyDescent="0.35">
      <c r="G152" s="15" t="str">
        <f t="shared" si="40"/>
        <v/>
      </c>
      <c r="H152" s="12" t="str">
        <f t="shared" ca="1" si="41"/>
        <v/>
      </c>
      <c r="I152" s="14"/>
      <c r="J152" s="1" t="str">
        <f>IF(COUNTA(A152:F2439)=0,"",IF(#REF!="","BRAK PROTOKOŁU","DODANY"))</f>
        <v/>
      </c>
      <c r="K152" s="1"/>
      <c r="M152" s="13" t="str" cm="1">
        <f t="array" ref="M152">IF($A152="","",IFERROR(TRANSPOSE(_xlfn._xlws.FILTER(Lokale!$C$3:$C$91,Lokale!$B$3:$B$91=$A152)),""))</f>
        <v/>
      </c>
      <c r="AJ152" s="13" t="str" cm="1">
        <f t="array" ref="AJ152">IF($C152="","",IFERROR(TRANSPOSE(_xlfn._xlws.FILTER(Listy!$D$2:$D$60,Listy!$C$2:$C$60=$C152)),""))</f>
        <v/>
      </c>
    </row>
    <row r="153" spans="7:36" ht="25" customHeight="1" x14ac:dyDescent="0.35">
      <c r="G153" s="15" t="str">
        <f t="shared" si="40"/>
        <v/>
      </c>
      <c r="H153" s="12" t="str">
        <f t="shared" ca="1" si="41"/>
        <v/>
      </c>
      <c r="I153" s="14"/>
      <c r="J153" s="1" t="str">
        <f>IF(COUNTA(A153:F2440)=0,"",IF(#REF!="","BRAK PROTOKOŁU","DODANY"))</f>
        <v/>
      </c>
      <c r="K153" s="1"/>
      <c r="M153" s="13" t="str" cm="1">
        <f t="array" ref="M153">IF($A153="","",IFERROR(TRANSPOSE(_xlfn._xlws.FILTER(Lokale!$C$3:$C$91,Lokale!$B$3:$B$91=$A153)),""))</f>
        <v/>
      </c>
      <c r="AJ153" s="13" t="str" cm="1">
        <f t="array" ref="AJ153">IF($C153="","",IFERROR(TRANSPOSE(_xlfn._xlws.FILTER(Listy!$D$2:$D$60,Listy!$C$2:$C$60=$C153)),""))</f>
        <v/>
      </c>
    </row>
    <row r="154" spans="7:36" ht="25" customHeight="1" x14ac:dyDescent="0.35">
      <c r="G154" s="15" t="str">
        <f t="shared" si="40"/>
        <v/>
      </c>
      <c r="H154" s="12" t="str">
        <f t="shared" ca="1" si="41"/>
        <v/>
      </c>
      <c r="I154" s="14"/>
      <c r="J154" s="1" t="str">
        <f>IF(COUNTA(A154:F2441)=0,"",IF(#REF!="","BRAK PROTOKOŁU","DODANY"))</f>
        <v/>
      </c>
      <c r="K154" s="1"/>
      <c r="M154" s="13" t="str" cm="1">
        <f t="array" ref="M154">IF($A154="","",IFERROR(TRANSPOSE(_xlfn._xlws.FILTER(Lokale!$C$3:$C$91,Lokale!$B$3:$B$91=$A154)),""))</f>
        <v/>
      </c>
      <c r="AJ154" s="13" t="str" cm="1">
        <f t="array" ref="AJ154">IF($C154="","",IFERROR(TRANSPOSE(_xlfn._xlws.FILTER(Listy!$D$2:$D$60,Listy!$C$2:$C$60=$C154)),""))</f>
        <v/>
      </c>
    </row>
    <row r="155" spans="7:36" ht="25" customHeight="1" x14ac:dyDescent="0.35">
      <c r="G155" s="15" t="str">
        <f t="shared" si="40"/>
        <v/>
      </c>
      <c r="H155" s="12" t="str">
        <f t="shared" ca="1" si="41"/>
        <v/>
      </c>
      <c r="I155" s="14"/>
      <c r="J155" s="1" t="str">
        <f>IF(COUNTA(A155:F2442)=0,"",IF(#REF!="","BRAK PROTOKOŁU","DODANY"))</f>
        <v/>
      </c>
      <c r="K155" s="1"/>
      <c r="M155" s="13" t="str" cm="1">
        <f t="array" ref="M155">IF($A155="","",IFERROR(TRANSPOSE(_xlfn._xlws.FILTER(Lokale!$C$3:$C$91,Lokale!$B$3:$B$91=$A155)),""))</f>
        <v/>
      </c>
      <c r="AJ155" s="13" t="str" cm="1">
        <f t="array" ref="AJ155">IF($C155="","",IFERROR(TRANSPOSE(_xlfn._xlws.FILTER(Listy!$D$2:$D$60,Listy!$C$2:$C$60=$C155)),""))</f>
        <v/>
      </c>
    </row>
    <row r="156" spans="7:36" ht="25" customHeight="1" x14ac:dyDescent="0.35">
      <c r="G156" s="15" t="str">
        <f t="shared" si="40"/>
        <v/>
      </c>
      <c r="H156" s="12" t="str">
        <f t="shared" ca="1" si="41"/>
        <v/>
      </c>
      <c r="I156" s="14"/>
      <c r="J156" s="1" t="str">
        <f>IF(COUNTA(A156:F2443)=0,"",IF(#REF!="","BRAK PROTOKOŁU","DODANY"))</f>
        <v/>
      </c>
      <c r="K156" s="1"/>
      <c r="M156" s="13" t="str" cm="1">
        <f t="array" ref="M156">IF($A156="","",IFERROR(TRANSPOSE(_xlfn._xlws.FILTER(Lokale!$C$3:$C$91,Lokale!$B$3:$B$91=$A156)),""))</f>
        <v/>
      </c>
      <c r="AJ156" s="13" t="str" cm="1">
        <f t="array" ref="AJ156">IF($C156="","",IFERROR(TRANSPOSE(_xlfn._xlws.FILTER(Listy!$D$2:$D$60,Listy!$C$2:$C$60=$C156)),""))</f>
        <v/>
      </c>
    </row>
    <row r="157" spans="7:36" ht="25" customHeight="1" x14ac:dyDescent="0.35">
      <c r="G157" s="15" t="str">
        <f t="shared" si="40"/>
        <v/>
      </c>
      <c r="H157" s="12" t="str">
        <f t="shared" ca="1" si="41"/>
        <v/>
      </c>
      <c r="I157" s="14"/>
      <c r="J157" s="1" t="str">
        <f>IF(COUNTA(A157:F2444)=0,"",IF(#REF!="","BRAK PROTOKOŁU","DODANY"))</f>
        <v/>
      </c>
      <c r="K157" s="1"/>
      <c r="M157" s="13" t="str" cm="1">
        <f t="array" ref="M157">IF($A157="","",IFERROR(TRANSPOSE(_xlfn._xlws.FILTER(Lokale!$C$3:$C$91,Lokale!$B$3:$B$91=$A157)),""))</f>
        <v/>
      </c>
      <c r="AJ157" s="13" t="str" cm="1">
        <f t="array" ref="AJ157">IF($C157="","",IFERROR(TRANSPOSE(_xlfn._xlws.FILTER(Listy!$D$2:$D$60,Listy!$C$2:$C$60=$C157)),""))</f>
        <v/>
      </c>
    </row>
    <row r="158" spans="7:36" ht="25" customHeight="1" x14ac:dyDescent="0.35">
      <c r="G158" s="15" t="str">
        <f t="shared" si="40"/>
        <v/>
      </c>
      <c r="H158" s="12" t="str">
        <f t="shared" ca="1" si="41"/>
        <v/>
      </c>
      <c r="I158" s="14"/>
      <c r="J158" s="1" t="str">
        <f>IF(COUNTA(A158:F2445)=0,"",IF(#REF!="","BRAK PROTOKOŁU","DODANY"))</f>
        <v/>
      </c>
      <c r="K158" s="1"/>
      <c r="M158" s="13" t="str" cm="1">
        <f t="array" ref="M158">IF($A158="","",IFERROR(TRANSPOSE(_xlfn._xlws.FILTER(Lokale!$C$3:$C$91,Lokale!$B$3:$B$91=$A158)),""))</f>
        <v/>
      </c>
      <c r="AJ158" s="13" t="str" cm="1">
        <f t="array" ref="AJ158">IF($C158="","",IFERROR(TRANSPOSE(_xlfn._xlws.FILTER(Listy!$D$2:$D$60,Listy!$C$2:$C$60=$C158)),""))</f>
        <v/>
      </c>
    </row>
    <row r="159" spans="7:36" ht="25" customHeight="1" x14ac:dyDescent="0.35">
      <c r="G159" s="15" t="str">
        <f t="shared" si="40"/>
        <v/>
      </c>
      <c r="H159" s="12" t="str">
        <f t="shared" ca="1" si="41"/>
        <v/>
      </c>
      <c r="I159" s="14"/>
      <c r="J159" s="1" t="str">
        <f>IF(COUNTA(A159:F2446)=0,"",IF(#REF!="","BRAK PROTOKOŁU","DODANY"))</f>
        <v/>
      </c>
      <c r="K159" s="1"/>
      <c r="M159" s="13" t="str" cm="1">
        <f t="array" ref="M159">IF($A159="","",IFERROR(TRANSPOSE(_xlfn._xlws.FILTER(Lokale!$C$3:$C$91,Lokale!$B$3:$B$91=$A159)),""))</f>
        <v/>
      </c>
      <c r="AJ159" s="13" t="str" cm="1">
        <f t="array" ref="AJ159">IF($C159="","",IFERROR(TRANSPOSE(_xlfn._xlws.FILTER(Listy!$D$2:$D$60,Listy!$C$2:$C$60=$C159)),""))</f>
        <v/>
      </c>
    </row>
    <row r="160" spans="7:36" ht="25" customHeight="1" x14ac:dyDescent="0.35">
      <c r="G160" s="15" t="str">
        <f t="shared" si="40"/>
        <v/>
      </c>
      <c r="H160" s="12" t="str">
        <f t="shared" ca="1" si="41"/>
        <v/>
      </c>
      <c r="I160" s="14"/>
      <c r="J160" s="1" t="str">
        <f>IF(COUNTA(A160:F2447)=0,"",IF(#REF!="","BRAK PROTOKOŁU","DODANY"))</f>
        <v/>
      </c>
      <c r="K160" s="1"/>
      <c r="M160" s="13" t="str" cm="1">
        <f t="array" ref="M160">IF($A160="","",IFERROR(TRANSPOSE(_xlfn._xlws.FILTER(Lokale!$C$3:$C$91,Lokale!$B$3:$B$91=$A160)),""))</f>
        <v/>
      </c>
      <c r="AJ160" s="13" t="str" cm="1">
        <f t="array" ref="AJ160">IF($C160="","",IFERROR(TRANSPOSE(_xlfn._xlws.FILTER(Listy!$D$2:$D$60,Listy!$C$2:$C$60=$C160)),""))</f>
        <v/>
      </c>
    </row>
    <row r="161" spans="7:36" ht="25" customHeight="1" x14ac:dyDescent="0.35">
      <c r="G161" s="15" t="str">
        <f t="shared" si="40"/>
        <v/>
      </c>
      <c r="H161" s="12" t="str">
        <f t="shared" ca="1" si="41"/>
        <v/>
      </c>
      <c r="I161" s="14"/>
      <c r="J161" s="1" t="str">
        <f>IF(COUNTA(A161:F2448)=0,"",IF(#REF!="","BRAK PROTOKOŁU","DODANY"))</f>
        <v/>
      </c>
      <c r="K161" s="1"/>
      <c r="M161" s="13" t="str" cm="1">
        <f t="array" ref="M161">IF($A161="","",IFERROR(TRANSPOSE(_xlfn._xlws.FILTER(Lokale!$C$3:$C$91,Lokale!$B$3:$B$91=$A161)),""))</f>
        <v/>
      </c>
      <c r="AJ161" s="13" t="str" cm="1">
        <f t="array" ref="AJ161">IF($C161="","",IFERROR(TRANSPOSE(_xlfn._xlws.FILTER(Listy!$D$2:$D$60,Listy!$C$2:$C$60=$C161)),""))</f>
        <v/>
      </c>
    </row>
    <row r="162" spans="7:36" ht="25" customHeight="1" x14ac:dyDescent="0.35">
      <c r="G162" s="15" t="str">
        <f t="shared" ref="G162:G225" si="42">IF(OR(E162="",F162=""),"",DATE(YEAR(E162),MONTH(E162)+F162,DAY(E162)))</f>
        <v/>
      </c>
      <c r="H162" s="12" t="str">
        <f t="shared" ref="H162:H225" ca="1" si="43">IF(G162="","",IF(G162&lt;TODAY(),"PO TERMINIE",IF(G162&lt;=TODAY()+14,"DO WYKONANIA","OK")))</f>
        <v/>
      </c>
      <c r="I162" s="14"/>
      <c r="J162" s="1" t="str">
        <f>IF(COUNTA(A162:F2449)=0,"",IF(#REF!="","BRAK PROTOKOŁU","DODANY"))</f>
        <v/>
      </c>
      <c r="K162" s="1"/>
      <c r="M162" s="13" t="str" cm="1">
        <f t="array" ref="M162">IF($A162="","",IFERROR(TRANSPOSE(_xlfn._xlws.FILTER(Lokale!$C$3:$C$91,Lokale!$B$3:$B$91=$A162)),""))</f>
        <v/>
      </c>
      <c r="AJ162" s="13" t="str" cm="1">
        <f t="array" ref="AJ162">IF($C162="","",IFERROR(TRANSPOSE(_xlfn._xlws.FILTER(Listy!$D$2:$D$60,Listy!$C$2:$C$60=$C162)),""))</f>
        <v/>
      </c>
    </row>
    <row r="163" spans="7:36" ht="25" customHeight="1" x14ac:dyDescent="0.35">
      <c r="G163" s="15" t="str">
        <f t="shared" si="42"/>
        <v/>
      </c>
      <c r="H163" s="12" t="str">
        <f t="shared" ca="1" si="43"/>
        <v/>
      </c>
      <c r="I163" s="14"/>
      <c r="J163" s="1" t="str">
        <f>IF(COUNTA(A163:F2450)=0,"",IF(#REF!="","BRAK PROTOKOŁU","DODANY"))</f>
        <v/>
      </c>
      <c r="K163" s="1"/>
      <c r="M163" s="13" t="str" cm="1">
        <f t="array" ref="M163">IF($A163="","",IFERROR(TRANSPOSE(_xlfn._xlws.FILTER(Lokale!$C$3:$C$91,Lokale!$B$3:$B$91=$A163)),""))</f>
        <v/>
      </c>
      <c r="AJ163" s="13" t="str" cm="1">
        <f t="array" ref="AJ163">IF($C163="","",IFERROR(TRANSPOSE(_xlfn._xlws.FILTER(Listy!$D$2:$D$60,Listy!$C$2:$C$60=$C163)),""))</f>
        <v/>
      </c>
    </row>
    <row r="164" spans="7:36" ht="25" customHeight="1" x14ac:dyDescent="0.35">
      <c r="G164" s="15" t="str">
        <f t="shared" si="42"/>
        <v/>
      </c>
      <c r="H164" s="12" t="str">
        <f t="shared" ca="1" si="43"/>
        <v/>
      </c>
      <c r="I164" s="14"/>
      <c r="J164" s="1" t="str">
        <f>IF(COUNTA(A164:F2451)=0,"",IF(#REF!="","BRAK PROTOKOŁU","DODANY"))</f>
        <v/>
      </c>
      <c r="K164" s="1"/>
      <c r="M164" s="13" t="str" cm="1">
        <f t="array" ref="M164">IF($A164="","",IFERROR(TRANSPOSE(_xlfn._xlws.FILTER(Lokale!$C$3:$C$91,Lokale!$B$3:$B$91=$A164)),""))</f>
        <v/>
      </c>
      <c r="AJ164" s="13" t="str" cm="1">
        <f t="array" ref="AJ164">IF($C164="","",IFERROR(TRANSPOSE(_xlfn._xlws.FILTER(Listy!$D$2:$D$60,Listy!$C$2:$C$60=$C164)),""))</f>
        <v/>
      </c>
    </row>
    <row r="165" spans="7:36" ht="25" customHeight="1" x14ac:dyDescent="0.35">
      <c r="G165" s="15" t="str">
        <f t="shared" si="42"/>
        <v/>
      </c>
      <c r="H165" s="12" t="str">
        <f t="shared" ca="1" si="43"/>
        <v/>
      </c>
      <c r="I165" s="14"/>
      <c r="J165" s="1" t="str">
        <f>IF(COUNTA(A165:F2452)=0,"",IF(#REF!="","BRAK PROTOKOŁU","DODANY"))</f>
        <v/>
      </c>
      <c r="K165" s="1"/>
      <c r="M165" s="13" t="str" cm="1">
        <f t="array" ref="M165">IF($A165="","",IFERROR(TRANSPOSE(_xlfn._xlws.FILTER(Lokale!$C$3:$C$91,Lokale!$B$3:$B$91=$A165)),""))</f>
        <v/>
      </c>
      <c r="AJ165" s="13" t="str" cm="1">
        <f t="array" ref="AJ165">IF($C165="","",IFERROR(TRANSPOSE(_xlfn._xlws.FILTER(Listy!$D$2:$D$60,Listy!$C$2:$C$60=$C165)),""))</f>
        <v/>
      </c>
    </row>
    <row r="166" spans="7:36" ht="25" customHeight="1" x14ac:dyDescent="0.35">
      <c r="G166" s="15" t="str">
        <f t="shared" si="42"/>
        <v/>
      </c>
      <c r="H166" s="12" t="str">
        <f t="shared" ca="1" si="43"/>
        <v/>
      </c>
      <c r="I166" s="14"/>
      <c r="J166" s="1" t="str">
        <f>IF(COUNTA(A166:F2453)=0,"",IF(#REF!="","BRAK PROTOKOŁU","DODANY"))</f>
        <v/>
      </c>
      <c r="K166" s="1"/>
      <c r="M166" s="13" t="str" cm="1">
        <f t="array" ref="M166">IF($A166="","",IFERROR(TRANSPOSE(_xlfn._xlws.FILTER(Lokale!$C$3:$C$91,Lokale!$B$3:$B$91=$A166)),""))</f>
        <v/>
      </c>
      <c r="AJ166" s="13" t="str" cm="1">
        <f t="array" ref="AJ166">IF($C166="","",IFERROR(TRANSPOSE(_xlfn._xlws.FILTER(Listy!$D$2:$D$60,Listy!$C$2:$C$60=$C166)),""))</f>
        <v/>
      </c>
    </row>
    <row r="167" spans="7:36" ht="25" customHeight="1" x14ac:dyDescent="0.35">
      <c r="G167" s="15" t="str">
        <f t="shared" si="42"/>
        <v/>
      </c>
      <c r="H167" s="12" t="str">
        <f t="shared" ca="1" si="43"/>
        <v/>
      </c>
      <c r="I167" s="14"/>
      <c r="J167" s="1" t="str">
        <f>IF(COUNTA(A167:F2454)=0,"",IF(#REF!="","BRAK PROTOKOŁU","DODANY"))</f>
        <v/>
      </c>
      <c r="K167" s="1"/>
      <c r="M167" s="13" t="str" cm="1">
        <f t="array" ref="M167">IF($A167="","",IFERROR(TRANSPOSE(_xlfn._xlws.FILTER(Lokale!$C$3:$C$91,Lokale!$B$3:$B$91=$A167)),""))</f>
        <v/>
      </c>
      <c r="AJ167" s="13" t="str" cm="1">
        <f t="array" ref="AJ167">IF($C167="","",IFERROR(TRANSPOSE(_xlfn._xlws.FILTER(Listy!$D$2:$D$60,Listy!$C$2:$C$60=$C167)),""))</f>
        <v/>
      </c>
    </row>
    <row r="168" spans="7:36" ht="25" customHeight="1" x14ac:dyDescent="0.35">
      <c r="G168" s="15" t="str">
        <f t="shared" si="42"/>
        <v/>
      </c>
      <c r="H168" s="12" t="str">
        <f t="shared" ca="1" si="43"/>
        <v/>
      </c>
      <c r="I168" s="14"/>
      <c r="J168" s="1" t="str">
        <f>IF(COUNTA(A168:F2455)=0,"",IF(#REF!="","BRAK PROTOKOŁU","DODANY"))</f>
        <v/>
      </c>
      <c r="K168" s="1"/>
      <c r="M168" s="13" t="str" cm="1">
        <f t="array" ref="M168">IF($A168="","",IFERROR(TRANSPOSE(_xlfn._xlws.FILTER(Lokale!$C$3:$C$91,Lokale!$B$3:$B$91=$A168)),""))</f>
        <v/>
      </c>
      <c r="AJ168" s="13" t="str" cm="1">
        <f t="array" ref="AJ168">IF($C168="","",IFERROR(TRANSPOSE(_xlfn._xlws.FILTER(Listy!$D$2:$D$60,Listy!$C$2:$C$60=$C168)),""))</f>
        <v/>
      </c>
    </row>
    <row r="169" spans="7:36" ht="25" customHeight="1" x14ac:dyDescent="0.35">
      <c r="G169" s="15" t="str">
        <f t="shared" si="42"/>
        <v/>
      </c>
      <c r="H169" s="12" t="str">
        <f t="shared" ca="1" si="43"/>
        <v/>
      </c>
      <c r="I169" s="14"/>
      <c r="J169" s="1" t="str">
        <f>IF(COUNTA(A169:F2456)=0,"",IF(#REF!="","BRAK PROTOKOŁU","DODANY"))</f>
        <v/>
      </c>
      <c r="K169" s="1"/>
      <c r="M169" s="13" t="str" cm="1">
        <f t="array" ref="M169">IF($A169="","",IFERROR(TRANSPOSE(_xlfn._xlws.FILTER(Lokale!$C$3:$C$91,Lokale!$B$3:$B$91=$A169)),""))</f>
        <v/>
      </c>
      <c r="AJ169" s="13" t="str" cm="1">
        <f t="array" ref="AJ169">IF($C169="","",IFERROR(TRANSPOSE(_xlfn._xlws.FILTER(Listy!$D$2:$D$60,Listy!$C$2:$C$60=$C169)),""))</f>
        <v/>
      </c>
    </row>
    <row r="170" spans="7:36" ht="25" customHeight="1" x14ac:dyDescent="0.35">
      <c r="G170" s="15" t="str">
        <f t="shared" si="42"/>
        <v/>
      </c>
      <c r="H170" s="12" t="str">
        <f t="shared" ca="1" si="43"/>
        <v/>
      </c>
      <c r="I170" s="14"/>
      <c r="J170" s="1" t="str">
        <f>IF(COUNTA(A170:F2457)=0,"",IF(#REF!="","BRAK PROTOKOŁU","DODANY"))</f>
        <v/>
      </c>
      <c r="K170" s="1"/>
      <c r="M170" s="13" t="str" cm="1">
        <f t="array" ref="M170">IF($A170="","",IFERROR(TRANSPOSE(_xlfn._xlws.FILTER(Lokale!$C$3:$C$91,Lokale!$B$3:$B$91=$A170)),""))</f>
        <v/>
      </c>
      <c r="AJ170" s="13" t="str" cm="1">
        <f t="array" ref="AJ170">IF($C170="","",IFERROR(TRANSPOSE(_xlfn._xlws.FILTER(Listy!$D$2:$D$60,Listy!$C$2:$C$60=$C170)),""))</f>
        <v/>
      </c>
    </row>
    <row r="171" spans="7:36" ht="25" customHeight="1" x14ac:dyDescent="0.35">
      <c r="G171" s="15" t="str">
        <f t="shared" si="42"/>
        <v/>
      </c>
      <c r="H171" s="12" t="str">
        <f t="shared" ca="1" si="43"/>
        <v/>
      </c>
      <c r="I171" s="14"/>
      <c r="J171" s="1" t="str">
        <f>IF(COUNTA(A171:F2458)=0,"",IF(#REF!="","BRAK PROTOKOŁU","DODANY"))</f>
        <v/>
      </c>
      <c r="K171" s="1"/>
      <c r="M171" s="13" t="str" cm="1">
        <f t="array" ref="M171">IF($A171="","",IFERROR(TRANSPOSE(_xlfn._xlws.FILTER(Lokale!$C$3:$C$91,Lokale!$B$3:$B$91=$A171)),""))</f>
        <v/>
      </c>
      <c r="AJ171" s="13" t="str" cm="1">
        <f t="array" ref="AJ171">IF($C171="","",IFERROR(TRANSPOSE(_xlfn._xlws.FILTER(Listy!$D$2:$D$60,Listy!$C$2:$C$60=$C171)),""))</f>
        <v/>
      </c>
    </row>
    <row r="172" spans="7:36" ht="25" customHeight="1" x14ac:dyDescent="0.35">
      <c r="G172" s="15" t="str">
        <f t="shared" si="42"/>
        <v/>
      </c>
      <c r="H172" s="12" t="str">
        <f t="shared" ca="1" si="43"/>
        <v/>
      </c>
      <c r="I172" s="14"/>
      <c r="J172" s="1" t="str">
        <f>IF(COUNTA(A172:F2459)=0,"",IF(#REF!="","BRAK PROTOKOŁU","DODANY"))</f>
        <v/>
      </c>
      <c r="K172" s="1"/>
      <c r="M172" s="13" t="str" cm="1">
        <f t="array" ref="M172">IF($A172="","",IFERROR(TRANSPOSE(_xlfn._xlws.FILTER(Lokale!$C$3:$C$91,Lokale!$B$3:$B$91=$A172)),""))</f>
        <v/>
      </c>
      <c r="AJ172" s="13" t="str" cm="1">
        <f t="array" ref="AJ172">IF($C172="","",IFERROR(TRANSPOSE(_xlfn._xlws.FILTER(Listy!$D$2:$D$60,Listy!$C$2:$C$60=$C172)),""))</f>
        <v/>
      </c>
    </row>
    <row r="173" spans="7:36" ht="25" customHeight="1" x14ac:dyDescent="0.35">
      <c r="G173" s="15" t="str">
        <f t="shared" si="42"/>
        <v/>
      </c>
      <c r="H173" s="12" t="str">
        <f t="shared" ca="1" si="43"/>
        <v/>
      </c>
      <c r="I173" s="14"/>
      <c r="J173" s="1" t="str">
        <f>IF(COUNTA(A173:F2460)=0,"",IF(#REF!="","BRAK PROTOKOŁU","DODANY"))</f>
        <v/>
      </c>
      <c r="K173" s="1"/>
      <c r="M173" s="13" t="str" cm="1">
        <f t="array" ref="M173">IF($A173="","",IFERROR(TRANSPOSE(_xlfn._xlws.FILTER(Lokale!$C$3:$C$91,Lokale!$B$3:$B$91=$A173)),""))</f>
        <v/>
      </c>
      <c r="AJ173" s="13" t="str" cm="1">
        <f t="array" ref="AJ173">IF($C173="","",IFERROR(TRANSPOSE(_xlfn._xlws.FILTER(Listy!$D$2:$D$60,Listy!$C$2:$C$60=$C173)),""))</f>
        <v/>
      </c>
    </row>
    <row r="174" spans="7:36" ht="25" customHeight="1" x14ac:dyDescent="0.35">
      <c r="G174" s="15" t="str">
        <f t="shared" si="42"/>
        <v/>
      </c>
      <c r="H174" s="12" t="str">
        <f t="shared" ca="1" si="43"/>
        <v/>
      </c>
      <c r="I174" s="14"/>
      <c r="J174" s="1" t="str">
        <f>IF(COUNTA(A174:F2461)=0,"",IF(#REF!="","BRAK PROTOKOŁU","DODANY"))</f>
        <v/>
      </c>
      <c r="K174" s="1"/>
      <c r="M174" s="13" t="str" cm="1">
        <f t="array" ref="M174">IF($A174="","",IFERROR(TRANSPOSE(_xlfn._xlws.FILTER(Lokale!$C$3:$C$91,Lokale!$B$3:$B$91=$A174)),""))</f>
        <v/>
      </c>
      <c r="AJ174" s="13" t="str" cm="1">
        <f t="array" ref="AJ174">IF($C174="","",IFERROR(TRANSPOSE(_xlfn._xlws.FILTER(Listy!$D$2:$D$60,Listy!$C$2:$C$60=$C174)),""))</f>
        <v/>
      </c>
    </row>
    <row r="175" spans="7:36" ht="25" customHeight="1" x14ac:dyDescent="0.35">
      <c r="G175" s="15" t="str">
        <f t="shared" si="42"/>
        <v/>
      </c>
      <c r="H175" s="12" t="str">
        <f t="shared" ca="1" si="43"/>
        <v/>
      </c>
      <c r="I175" s="14"/>
      <c r="J175" s="1" t="str">
        <f>IF(COUNTA(A175:F2462)=0,"",IF(#REF!="","BRAK PROTOKOŁU","DODANY"))</f>
        <v/>
      </c>
      <c r="K175" s="1"/>
      <c r="M175" s="13" t="str" cm="1">
        <f t="array" ref="M175">IF($A175="","",IFERROR(TRANSPOSE(_xlfn._xlws.FILTER(Lokale!$C$3:$C$91,Lokale!$B$3:$B$91=$A175)),""))</f>
        <v/>
      </c>
      <c r="AJ175" s="13" t="str" cm="1">
        <f t="array" ref="AJ175">IF($C175="","",IFERROR(TRANSPOSE(_xlfn._xlws.FILTER(Listy!$D$2:$D$60,Listy!$C$2:$C$60=$C175)),""))</f>
        <v/>
      </c>
    </row>
    <row r="176" spans="7:36" ht="25" customHeight="1" x14ac:dyDescent="0.35">
      <c r="G176" s="15" t="str">
        <f t="shared" si="42"/>
        <v/>
      </c>
      <c r="H176" s="12" t="str">
        <f t="shared" ca="1" si="43"/>
        <v/>
      </c>
      <c r="I176" s="14"/>
      <c r="J176" s="1" t="str">
        <f>IF(COUNTA(A176:F2463)=0,"",IF(#REF!="","BRAK PROTOKOŁU","DODANY"))</f>
        <v/>
      </c>
      <c r="K176" s="1"/>
      <c r="M176" s="13" t="str" cm="1">
        <f t="array" ref="M176">IF($A176="","",IFERROR(TRANSPOSE(_xlfn._xlws.FILTER(Lokale!$C$3:$C$91,Lokale!$B$3:$B$91=$A176)),""))</f>
        <v/>
      </c>
      <c r="AJ176" s="13" t="str" cm="1">
        <f t="array" ref="AJ176">IF($C176="","",IFERROR(TRANSPOSE(_xlfn._xlws.FILTER(Listy!$D$2:$D$60,Listy!$C$2:$C$60=$C176)),""))</f>
        <v/>
      </c>
    </row>
    <row r="177" spans="7:36" ht="25" customHeight="1" x14ac:dyDescent="0.35">
      <c r="G177" s="15" t="str">
        <f t="shared" si="42"/>
        <v/>
      </c>
      <c r="H177" s="12" t="str">
        <f t="shared" ca="1" si="43"/>
        <v/>
      </c>
      <c r="I177" s="14"/>
      <c r="J177" s="1" t="str">
        <f>IF(COUNTA(A177:F2464)=0,"",IF(#REF!="","BRAK PROTOKOŁU","DODANY"))</f>
        <v/>
      </c>
      <c r="K177" s="1"/>
      <c r="M177" s="13" t="str" cm="1">
        <f t="array" ref="M177">IF($A177="","",IFERROR(TRANSPOSE(_xlfn._xlws.FILTER(Lokale!$C$3:$C$91,Lokale!$B$3:$B$91=$A177)),""))</f>
        <v/>
      </c>
      <c r="AJ177" s="13" t="str" cm="1">
        <f t="array" ref="AJ177">IF($C177="","",IFERROR(TRANSPOSE(_xlfn._xlws.FILTER(Listy!$D$2:$D$60,Listy!$C$2:$C$60=$C177)),""))</f>
        <v/>
      </c>
    </row>
    <row r="178" spans="7:36" ht="25" customHeight="1" x14ac:dyDescent="0.35">
      <c r="G178" s="15" t="str">
        <f t="shared" si="42"/>
        <v/>
      </c>
      <c r="H178" s="12" t="str">
        <f t="shared" ca="1" si="43"/>
        <v/>
      </c>
      <c r="I178" s="14"/>
      <c r="J178" s="1" t="str">
        <f>IF(COUNTA(A178:F2465)=0,"",IF(#REF!="","BRAK PROTOKOŁU","DODANY"))</f>
        <v/>
      </c>
      <c r="K178" s="1"/>
      <c r="M178" s="13" t="str" cm="1">
        <f t="array" ref="M178">IF($A178="","",IFERROR(TRANSPOSE(_xlfn._xlws.FILTER(Lokale!$C$3:$C$91,Lokale!$B$3:$B$91=$A178)),""))</f>
        <v/>
      </c>
      <c r="AJ178" s="13" t="str" cm="1">
        <f t="array" ref="AJ178">IF($C178="","",IFERROR(TRANSPOSE(_xlfn._xlws.FILTER(Listy!$D$2:$D$60,Listy!$C$2:$C$60=$C178)),""))</f>
        <v/>
      </c>
    </row>
    <row r="179" spans="7:36" ht="25" customHeight="1" x14ac:dyDescent="0.35">
      <c r="G179" s="15" t="str">
        <f t="shared" si="42"/>
        <v/>
      </c>
      <c r="H179" s="12" t="str">
        <f t="shared" ca="1" si="43"/>
        <v/>
      </c>
      <c r="I179" s="14"/>
      <c r="J179" s="1" t="str">
        <f>IF(COUNTA(A179:F2466)=0,"",IF(#REF!="","BRAK PROTOKOŁU","DODANY"))</f>
        <v/>
      </c>
      <c r="K179" s="1"/>
      <c r="M179" s="13" t="str" cm="1">
        <f t="array" ref="M179">IF($A179="","",IFERROR(TRANSPOSE(_xlfn._xlws.FILTER(Lokale!$C$3:$C$91,Lokale!$B$3:$B$91=$A179)),""))</f>
        <v/>
      </c>
      <c r="AJ179" s="13" t="str" cm="1">
        <f t="array" ref="AJ179">IF($C179="","",IFERROR(TRANSPOSE(_xlfn._xlws.FILTER(Listy!$D$2:$D$60,Listy!$C$2:$C$60=$C179)),""))</f>
        <v/>
      </c>
    </row>
    <row r="180" spans="7:36" ht="25" customHeight="1" x14ac:dyDescent="0.35">
      <c r="G180" s="15" t="str">
        <f t="shared" si="42"/>
        <v/>
      </c>
      <c r="H180" s="12" t="str">
        <f t="shared" ca="1" si="43"/>
        <v/>
      </c>
      <c r="I180" s="14"/>
      <c r="J180" s="1" t="str">
        <f>IF(COUNTA(A180:F2467)=0,"",IF(#REF!="","BRAK PROTOKOŁU","DODANY"))</f>
        <v/>
      </c>
      <c r="K180" s="1"/>
      <c r="M180" s="13" t="str" cm="1">
        <f t="array" ref="M180">IF($A180="","",IFERROR(TRANSPOSE(_xlfn._xlws.FILTER(Lokale!$C$3:$C$91,Lokale!$B$3:$B$91=$A180)),""))</f>
        <v/>
      </c>
      <c r="AJ180" s="13" t="str" cm="1">
        <f t="array" ref="AJ180">IF($C180="","",IFERROR(TRANSPOSE(_xlfn._xlws.FILTER(Listy!$D$2:$D$60,Listy!$C$2:$C$60=$C180)),""))</f>
        <v/>
      </c>
    </row>
    <row r="181" spans="7:36" ht="25" customHeight="1" x14ac:dyDescent="0.35">
      <c r="G181" s="15" t="str">
        <f t="shared" si="42"/>
        <v/>
      </c>
      <c r="H181" s="12" t="str">
        <f t="shared" ca="1" si="43"/>
        <v/>
      </c>
      <c r="I181" s="14"/>
      <c r="J181" s="1" t="str">
        <f>IF(COUNTA(A181:F2468)=0,"",IF(#REF!="","BRAK PROTOKOŁU","DODANY"))</f>
        <v/>
      </c>
      <c r="K181" s="1"/>
      <c r="M181" s="13" t="str" cm="1">
        <f t="array" ref="M181">IF($A181="","",IFERROR(TRANSPOSE(_xlfn._xlws.FILTER(Lokale!$C$3:$C$91,Lokale!$B$3:$B$91=$A181)),""))</f>
        <v/>
      </c>
      <c r="AJ181" s="13" t="str" cm="1">
        <f t="array" ref="AJ181">IF($C181="","",IFERROR(TRANSPOSE(_xlfn._xlws.FILTER(Listy!$D$2:$D$60,Listy!$C$2:$C$60=$C181)),""))</f>
        <v/>
      </c>
    </row>
    <row r="182" spans="7:36" ht="25" customHeight="1" x14ac:dyDescent="0.35">
      <c r="G182" s="15" t="str">
        <f t="shared" si="42"/>
        <v/>
      </c>
      <c r="H182" s="12" t="str">
        <f t="shared" ca="1" si="43"/>
        <v/>
      </c>
      <c r="I182" s="14"/>
      <c r="J182" s="1" t="str">
        <f>IF(COUNTA(A182:F2469)=0,"",IF(#REF!="","BRAK PROTOKOŁU","DODANY"))</f>
        <v/>
      </c>
      <c r="K182" s="1"/>
      <c r="M182" s="13" t="str" cm="1">
        <f t="array" ref="M182">IF($A182="","",IFERROR(TRANSPOSE(_xlfn._xlws.FILTER(Lokale!$C$3:$C$91,Lokale!$B$3:$B$91=$A182)),""))</f>
        <v/>
      </c>
      <c r="AJ182" s="13" t="str" cm="1">
        <f t="array" ref="AJ182">IF($C182="","",IFERROR(TRANSPOSE(_xlfn._xlws.FILTER(Listy!$D$2:$D$60,Listy!$C$2:$C$60=$C182)),""))</f>
        <v/>
      </c>
    </row>
    <row r="183" spans="7:36" ht="25" customHeight="1" x14ac:dyDescent="0.35">
      <c r="G183" s="15" t="str">
        <f t="shared" si="42"/>
        <v/>
      </c>
      <c r="H183" s="12" t="str">
        <f t="shared" ca="1" si="43"/>
        <v/>
      </c>
      <c r="I183" s="14"/>
      <c r="J183" s="1" t="str">
        <f>IF(COUNTA(A183:F2470)=0,"",IF(#REF!="","BRAK PROTOKOŁU","DODANY"))</f>
        <v/>
      </c>
      <c r="K183" s="1"/>
      <c r="M183" s="13" t="str" cm="1">
        <f t="array" ref="M183">IF($A183="","",IFERROR(TRANSPOSE(_xlfn._xlws.FILTER(Lokale!$C$3:$C$91,Lokale!$B$3:$B$91=$A183)),""))</f>
        <v/>
      </c>
      <c r="AJ183" s="13" t="str" cm="1">
        <f t="array" ref="AJ183">IF($C183="","",IFERROR(TRANSPOSE(_xlfn._xlws.FILTER(Listy!$D$2:$D$60,Listy!$C$2:$C$60=$C183)),""))</f>
        <v/>
      </c>
    </row>
    <row r="184" spans="7:36" ht="25" customHeight="1" x14ac:dyDescent="0.35">
      <c r="G184" s="15" t="str">
        <f t="shared" si="42"/>
        <v/>
      </c>
      <c r="H184" s="12" t="str">
        <f t="shared" ca="1" si="43"/>
        <v/>
      </c>
      <c r="I184" s="14"/>
      <c r="J184" s="1" t="str">
        <f>IF(COUNTA(A184:F2471)=0,"",IF(#REF!="","BRAK PROTOKOŁU","DODANY"))</f>
        <v/>
      </c>
      <c r="K184" s="1"/>
      <c r="M184" s="13" t="str" cm="1">
        <f t="array" ref="M184">IF($A184="","",IFERROR(TRANSPOSE(_xlfn._xlws.FILTER(Lokale!$C$3:$C$91,Lokale!$B$3:$B$91=$A184)),""))</f>
        <v/>
      </c>
      <c r="AJ184" s="13" t="str" cm="1">
        <f t="array" ref="AJ184">IF($C184="","",IFERROR(TRANSPOSE(_xlfn._xlws.FILTER(Listy!$D$2:$D$60,Listy!$C$2:$C$60=$C184)),""))</f>
        <v/>
      </c>
    </row>
    <row r="185" spans="7:36" ht="25" customHeight="1" x14ac:dyDescent="0.35">
      <c r="G185" s="15" t="str">
        <f t="shared" si="42"/>
        <v/>
      </c>
      <c r="H185" s="12" t="str">
        <f t="shared" ca="1" si="43"/>
        <v/>
      </c>
      <c r="I185" s="14"/>
      <c r="J185" s="1" t="str">
        <f>IF(COUNTA(A185:F2472)=0,"",IF(#REF!="","BRAK PROTOKOŁU","DODANY"))</f>
        <v/>
      </c>
      <c r="K185" s="1"/>
      <c r="M185" s="13" t="str" cm="1">
        <f t="array" ref="M185">IF($A185="","",IFERROR(TRANSPOSE(_xlfn._xlws.FILTER(Lokale!$C$3:$C$91,Lokale!$B$3:$B$91=$A185)),""))</f>
        <v/>
      </c>
      <c r="AJ185" s="13" t="str" cm="1">
        <f t="array" ref="AJ185">IF($C185="","",IFERROR(TRANSPOSE(_xlfn._xlws.FILTER(Listy!$D$2:$D$60,Listy!$C$2:$C$60=$C185)),""))</f>
        <v/>
      </c>
    </row>
    <row r="186" spans="7:36" ht="25" customHeight="1" x14ac:dyDescent="0.35">
      <c r="G186" s="15" t="str">
        <f t="shared" si="42"/>
        <v/>
      </c>
      <c r="H186" s="12" t="str">
        <f t="shared" ca="1" si="43"/>
        <v/>
      </c>
      <c r="I186" s="14"/>
      <c r="J186" s="1" t="str">
        <f>IF(COUNTA(A186:F2473)=0,"",IF(#REF!="","BRAK PROTOKOŁU","DODANY"))</f>
        <v/>
      </c>
      <c r="K186" s="1"/>
      <c r="M186" s="13" t="str" cm="1">
        <f t="array" ref="M186">IF($A186="","",IFERROR(TRANSPOSE(_xlfn._xlws.FILTER(Lokale!$C$3:$C$91,Lokale!$B$3:$B$91=$A186)),""))</f>
        <v/>
      </c>
      <c r="AJ186" s="13" t="str" cm="1">
        <f t="array" ref="AJ186">IF($C186="","",IFERROR(TRANSPOSE(_xlfn._xlws.FILTER(Listy!$D$2:$D$60,Listy!$C$2:$C$60=$C186)),""))</f>
        <v/>
      </c>
    </row>
    <row r="187" spans="7:36" ht="25" customHeight="1" x14ac:dyDescent="0.35">
      <c r="G187" s="15" t="str">
        <f t="shared" si="42"/>
        <v/>
      </c>
      <c r="H187" s="12" t="str">
        <f t="shared" ca="1" si="43"/>
        <v/>
      </c>
      <c r="I187" s="14"/>
      <c r="J187" s="1" t="str">
        <f>IF(COUNTA(A187:F2474)=0,"",IF(#REF!="","BRAK PROTOKOŁU","DODANY"))</f>
        <v/>
      </c>
      <c r="K187" s="1"/>
      <c r="M187" s="13" t="str" cm="1">
        <f t="array" ref="M187">IF($A187="","",IFERROR(TRANSPOSE(_xlfn._xlws.FILTER(Lokale!$C$3:$C$91,Lokale!$B$3:$B$91=$A187)),""))</f>
        <v/>
      </c>
      <c r="AJ187" s="13" t="str" cm="1">
        <f t="array" ref="AJ187">IF($C187="","",IFERROR(TRANSPOSE(_xlfn._xlws.FILTER(Listy!$D$2:$D$60,Listy!$C$2:$C$60=$C187)),""))</f>
        <v/>
      </c>
    </row>
    <row r="188" spans="7:36" ht="25" customHeight="1" x14ac:dyDescent="0.35">
      <c r="G188" s="15" t="str">
        <f t="shared" si="42"/>
        <v/>
      </c>
      <c r="H188" s="12" t="str">
        <f t="shared" ca="1" si="43"/>
        <v/>
      </c>
      <c r="I188" s="14"/>
      <c r="J188" s="1" t="str">
        <f>IF(COUNTA(A188:F2475)=0,"",IF(#REF!="","BRAK PROTOKOŁU","DODANY"))</f>
        <v/>
      </c>
      <c r="K188" s="1"/>
      <c r="M188" s="13" t="str" cm="1">
        <f t="array" ref="M188">IF($A188="","",IFERROR(TRANSPOSE(_xlfn._xlws.FILTER(Lokale!$C$3:$C$91,Lokale!$B$3:$B$91=$A188)),""))</f>
        <v/>
      </c>
      <c r="AJ188" s="13" t="str" cm="1">
        <f t="array" ref="AJ188">IF($C188="","",IFERROR(TRANSPOSE(_xlfn._xlws.FILTER(Listy!$D$2:$D$60,Listy!$C$2:$C$60=$C188)),""))</f>
        <v/>
      </c>
    </row>
    <row r="189" spans="7:36" ht="25" customHeight="1" x14ac:dyDescent="0.35">
      <c r="G189" s="15" t="str">
        <f t="shared" si="42"/>
        <v/>
      </c>
      <c r="H189" s="12" t="str">
        <f t="shared" ca="1" si="43"/>
        <v/>
      </c>
      <c r="I189" s="14"/>
      <c r="J189" s="1" t="str">
        <f>IF(COUNTA(A189:F2476)=0,"",IF(#REF!="","BRAK PROTOKOŁU","DODANY"))</f>
        <v/>
      </c>
      <c r="K189" s="1"/>
      <c r="M189" s="13" t="str" cm="1">
        <f t="array" ref="M189">IF($A189="","",IFERROR(TRANSPOSE(_xlfn._xlws.FILTER(Lokale!$C$3:$C$91,Lokale!$B$3:$B$91=$A189)),""))</f>
        <v/>
      </c>
      <c r="AJ189" s="13" t="str" cm="1">
        <f t="array" ref="AJ189">IF($C189="","",IFERROR(TRANSPOSE(_xlfn._xlws.FILTER(Listy!$D$2:$D$60,Listy!$C$2:$C$60=$C189)),""))</f>
        <v/>
      </c>
    </row>
    <row r="190" spans="7:36" ht="25" customHeight="1" x14ac:dyDescent="0.35">
      <c r="G190" s="15" t="str">
        <f t="shared" si="42"/>
        <v/>
      </c>
      <c r="H190" s="12" t="str">
        <f t="shared" ca="1" si="43"/>
        <v/>
      </c>
      <c r="I190" s="14"/>
      <c r="J190" s="1" t="str">
        <f>IF(COUNTA(A190:F2477)=0,"",IF(#REF!="","BRAK PROTOKOŁU","DODANY"))</f>
        <v/>
      </c>
      <c r="K190" s="1"/>
      <c r="M190" s="13" t="str" cm="1">
        <f t="array" ref="M190">IF($A190="","",IFERROR(TRANSPOSE(_xlfn._xlws.FILTER(Lokale!$C$3:$C$91,Lokale!$B$3:$B$91=$A190)),""))</f>
        <v/>
      </c>
      <c r="AJ190" s="13" t="str" cm="1">
        <f t="array" ref="AJ190">IF($C190="","",IFERROR(TRANSPOSE(_xlfn._xlws.FILTER(Listy!$D$2:$D$60,Listy!$C$2:$C$60=$C190)),""))</f>
        <v/>
      </c>
    </row>
    <row r="191" spans="7:36" ht="25" customHeight="1" x14ac:dyDescent="0.35">
      <c r="G191" s="15" t="str">
        <f t="shared" si="42"/>
        <v/>
      </c>
      <c r="H191" s="12" t="str">
        <f t="shared" ca="1" si="43"/>
        <v/>
      </c>
      <c r="I191" s="14"/>
      <c r="J191" s="1" t="str">
        <f>IF(COUNTA(A191:F2478)=0,"",IF(#REF!="","BRAK PROTOKOŁU","DODANY"))</f>
        <v/>
      </c>
      <c r="K191" s="1"/>
      <c r="M191" s="13" t="str" cm="1">
        <f t="array" ref="M191">IF($A191="","",IFERROR(TRANSPOSE(_xlfn._xlws.FILTER(Lokale!$C$3:$C$91,Lokale!$B$3:$B$91=$A191)),""))</f>
        <v/>
      </c>
      <c r="AJ191" s="13" t="str" cm="1">
        <f t="array" ref="AJ191">IF($C191="","",IFERROR(TRANSPOSE(_xlfn._xlws.FILTER(Listy!$D$2:$D$60,Listy!$C$2:$C$60=$C191)),""))</f>
        <v/>
      </c>
    </row>
    <row r="192" spans="7:36" ht="25" customHeight="1" x14ac:dyDescent="0.35">
      <c r="G192" s="15" t="str">
        <f t="shared" si="42"/>
        <v/>
      </c>
      <c r="H192" s="12" t="str">
        <f t="shared" ca="1" si="43"/>
        <v/>
      </c>
      <c r="I192" s="14"/>
      <c r="J192" s="1" t="str">
        <f>IF(COUNTA(A192:F2479)=0,"",IF(#REF!="","BRAK PROTOKOŁU","DODANY"))</f>
        <v/>
      </c>
      <c r="K192" s="1"/>
      <c r="M192" s="13" t="str" cm="1">
        <f t="array" ref="M192">IF($A192="","",IFERROR(TRANSPOSE(_xlfn._xlws.FILTER(Lokale!$C$3:$C$91,Lokale!$B$3:$B$91=$A192)),""))</f>
        <v/>
      </c>
      <c r="AJ192" s="13" t="str" cm="1">
        <f t="array" ref="AJ192">IF($C192="","",IFERROR(TRANSPOSE(_xlfn._xlws.FILTER(Listy!$D$2:$D$60,Listy!$C$2:$C$60=$C192)),""))</f>
        <v/>
      </c>
    </row>
    <row r="193" spans="7:36" ht="25" customHeight="1" x14ac:dyDescent="0.35">
      <c r="G193" s="15" t="str">
        <f t="shared" si="42"/>
        <v/>
      </c>
      <c r="H193" s="12" t="str">
        <f t="shared" ca="1" si="43"/>
        <v/>
      </c>
      <c r="I193" s="14"/>
      <c r="J193" s="1" t="str">
        <f>IF(COUNTA(A193:F2480)=0,"",IF(#REF!="","BRAK PROTOKOŁU","DODANY"))</f>
        <v/>
      </c>
      <c r="K193" s="1"/>
      <c r="M193" s="13" t="str" cm="1">
        <f t="array" ref="M193">IF($A193="","",IFERROR(TRANSPOSE(_xlfn._xlws.FILTER(Lokale!$C$3:$C$91,Lokale!$B$3:$B$91=$A193)),""))</f>
        <v/>
      </c>
      <c r="AJ193" s="13" t="str" cm="1">
        <f t="array" ref="AJ193">IF($C193="","",IFERROR(TRANSPOSE(_xlfn._xlws.FILTER(Listy!$D$2:$D$60,Listy!$C$2:$C$60=$C193)),""))</f>
        <v/>
      </c>
    </row>
    <row r="194" spans="7:36" ht="25" customHeight="1" x14ac:dyDescent="0.35">
      <c r="G194" s="15" t="str">
        <f t="shared" si="42"/>
        <v/>
      </c>
      <c r="H194" s="12" t="str">
        <f t="shared" ca="1" si="43"/>
        <v/>
      </c>
      <c r="I194" s="14"/>
      <c r="J194" s="1" t="str">
        <f>IF(COUNTA(A194:F2481)=0,"",IF(#REF!="","BRAK PROTOKOŁU","DODANY"))</f>
        <v/>
      </c>
      <c r="K194" s="1"/>
      <c r="M194" s="13" t="str" cm="1">
        <f t="array" ref="M194">IF($A194="","",IFERROR(TRANSPOSE(_xlfn._xlws.FILTER(Lokale!$C$3:$C$91,Lokale!$B$3:$B$91=$A194)),""))</f>
        <v/>
      </c>
      <c r="AJ194" s="13" t="str" cm="1">
        <f t="array" ref="AJ194">IF($C194="","",IFERROR(TRANSPOSE(_xlfn._xlws.FILTER(Listy!$D$2:$D$60,Listy!$C$2:$C$60=$C194)),""))</f>
        <v/>
      </c>
    </row>
    <row r="195" spans="7:36" ht="25" customHeight="1" x14ac:dyDescent="0.35">
      <c r="G195" s="15" t="str">
        <f t="shared" si="42"/>
        <v/>
      </c>
      <c r="H195" s="12" t="str">
        <f t="shared" ca="1" si="43"/>
        <v/>
      </c>
      <c r="I195" s="14"/>
      <c r="J195" s="1" t="str">
        <f>IF(COUNTA(A195:F2482)=0,"",IF(#REF!="","BRAK PROTOKOŁU","DODANY"))</f>
        <v/>
      </c>
      <c r="K195" s="1"/>
      <c r="M195" s="13" t="str" cm="1">
        <f t="array" ref="M195">IF($A195="","",IFERROR(TRANSPOSE(_xlfn._xlws.FILTER(Lokale!$C$3:$C$91,Lokale!$B$3:$B$91=$A195)),""))</f>
        <v/>
      </c>
      <c r="AJ195" s="13" t="str" cm="1">
        <f t="array" ref="AJ195">IF($C195="","",IFERROR(TRANSPOSE(_xlfn._xlws.FILTER(Listy!$D$2:$D$60,Listy!$C$2:$C$60=$C195)),""))</f>
        <v/>
      </c>
    </row>
    <row r="196" spans="7:36" ht="25" customHeight="1" x14ac:dyDescent="0.35">
      <c r="G196" s="15" t="str">
        <f t="shared" si="42"/>
        <v/>
      </c>
      <c r="H196" s="12" t="str">
        <f t="shared" ca="1" si="43"/>
        <v/>
      </c>
      <c r="I196" s="14"/>
      <c r="J196" s="1" t="str">
        <f>IF(COUNTA(A196:F2483)=0,"",IF(#REF!="","BRAK PROTOKOŁU","DODANY"))</f>
        <v/>
      </c>
      <c r="K196" s="1"/>
      <c r="M196" s="13" t="str" cm="1">
        <f t="array" ref="M196">IF($A196="","",IFERROR(TRANSPOSE(_xlfn._xlws.FILTER(Lokale!$C$3:$C$91,Lokale!$B$3:$B$91=$A196)),""))</f>
        <v/>
      </c>
      <c r="AJ196" s="13" t="str" cm="1">
        <f t="array" ref="AJ196">IF($C196="","",IFERROR(TRANSPOSE(_xlfn._xlws.FILTER(Listy!$D$2:$D$60,Listy!$C$2:$C$60=$C196)),""))</f>
        <v/>
      </c>
    </row>
    <row r="197" spans="7:36" ht="25" customHeight="1" x14ac:dyDescent="0.35">
      <c r="G197" s="15" t="str">
        <f t="shared" si="42"/>
        <v/>
      </c>
      <c r="H197" s="12" t="str">
        <f t="shared" ca="1" si="43"/>
        <v/>
      </c>
      <c r="I197" s="14"/>
      <c r="J197" s="1" t="str">
        <f>IF(COUNTA(A197:F2484)=0,"",IF(#REF!="","BRAK PROTOKOŁU","DODANY"))</f>
        <v/>
      </c>
      <c r="K197" s="1"/>
      <c r="M197" s="13" t="str" cm="1">
        <f t="array" ref="M197">IF($A197="","",IFERROR(TRANSPOSE(_xlfn._xlws.FILTER(Lokale!$C$3:$C$91,Lokale!$B$3:$B$91=$A197)),""))</f>
        <v/>
      </c>
      <c r="AJ197" s="13" t="str" cm="1">
        <f t="array" ref="AJ197">IF($C197="","",IFERROR(TRANSPOSE(_xlfn._xlws.FILTER(Listy!$D$2:$D$60,Listy!$C$2:$C$60=$C197)),""))</f>
        <v/>
      </c>
    </row>
    <row r="198" spans="7:36" ht="25" customHeight="1" x14ac:dyDescent="0.35">
      <c r="G198" s="15" t="str">
        <f t="shared" si="42"/>
        <v/>
      </c>
      <c r="H198" s="12" t="str">
        <f t="shared" ca="1" si="43"/>
        <v/>
      </c>
      <c r="I198" s="14"/>
      <c r="J198" s="1" t="str">
        <f>IF(COUNTA(A198:F2485)=0,"",IF(#REF!="","BRAK PROTOKOŁU","DODANY"))</f>
        <v/>
      </c>
      <c r="K198" s="1"/>
      <c r="M198" s="13" t="str" cm="1">
        <f t="array" ref="M198">IF($A198="","",IFERROR(TRANSPOSE(_xlfn._xlws.FILTER(Lokale!$C$3:$C$91,Lokale!$B$3:$B$91=$A198)),""))</f>
        <v/>
      </c>
      <c r="AJ198" s="13" t="str" cm="1">
        <f t="array" ref="AJ198">IF($C198="","",IFERROR(TRANSPOSE(_xlfn._xlws.FILTER(Listy!$D$2:$D$60,Listy!$C$2:$C$60=$C198)),""))</f>
        <v/>
      </c>
    </row>
    <row r="199" spans="7:36" ht="25" customHeight="1" x14ac:dyDescent="0.35">
      <c r="G199" s="15" t="str">
        <f t="shared" si="42"/>
        <v/>
      </c>
      <c r="H199" s="12" t="str">
        <f t="shared" ca="1" si="43"/>
        <v/>
      </c>
      <c r="I199" s="14"/>
      <c r="J199" s="1" t="str">
        <f>IF(COUNTA(A199:F2486)=0,"",IF(#REF!="","BRAK PROTOKOŁU","DODANY"))</f>
        <v/>
      </c>
      <c r="K199" s="1"/>
      <c r="M199" s="13" t="str" cm="1">
        <f t="array" ref="M199">IF($A199="","",IFERROR(TRANSPOSE(_xlfn._xlws.FILTER(Lokale!$C$3:$C$91,Lokale!$B$3:$B$91=$A199)),""))</f>
        <v/>
      </c>
      <c r="AJ199" s="13" t="str" cm="1">
        <f t="array" ref="AJ199">IF($C199="","",IFERROR(TRANSPOSE(_xlfn._xlws.FILTER(Listy!$D$2:$D$60,Listy!$C$2:$C$60=$C199)),""))</f>
        <v/>
      </c>
    </row>
    <row r="200" spans="7:36" ht="25" customHeight="1" x14ac:dyDescent="0.35">
      <c r="G200" s="15" t="str">
        <f t="shared" si="42"/>
        <v/>
      </c>
      <c r="H200" s="12" t="str">
        <f t="shared" ca="1" si="43"/>
        <v/>
      </c>
      <c r="I200" s="14"/>
      <c r="J200" s="1" t="str">
        <f>IF(COUNTA(A200:F2487)=0,"",IF(#REF!="","BRAK PROTOKOŁU","DODANY"))</f>
        <v/>
      </c>
      <c r="K200" s="1"/>
      <c r="M200" s="13" t="str" cm="1">
        <f t="array" ref="M200">IF($A200="","",IFERROR(TRANSPOSE(_xlfn._xlws.FILTER(Lokale!$C$3:$C$91,Lokale!$B$3:$B$91=$A200)),""))</f>
        <v/>
      </c>
      <c r="AJ200" s="13" t="str" cm="1">
        <f t="array" ref="AJ200">IF($C200="","",IFERROR(TRANSPOSE(_xlfn._xlws.FILTER(Listy!$D$2:$D$60,Listy!$C$2:$C$60=$C200)),""))</f>
        <v/>
      </c>
    </row>
    <row r="201" spans="7:36" ht="25" customHeight="1" x14ac:dyDescent="0.35">
      <c r="G201" s="15" t="str">
        <f t="shared" si="42"/>
        <v/>
      </c>
      <c r="H201" s="12" t="str">
        <f t="shared" ca="1" si="43"/>
        <v/>
      </c>
      <c r="I201" s="14"/>
      <c r="J201" s="1" t="str">
        <f>IF(COUNTA(A201:F2488)=0,"",IF(#REF!="","BRAK PROTOKOŁU","DODANY"))</f>
        <v/>
      </c>
      <c r="K201" s="1"/>
      <c r="M201" s="13" t="str" cm="1">
        <f t="array" ref="M201">IF($A201="","",IFERROR(TRANSPOSE(_xlfn._xlws.FILTER(Lokale!$C$3:$C$91,Lokale!$B$3:$B$91=$A201)),""))</f>
        <v/>
      </c>
      <c r="AJ201" s="13" t="str" cm="1">
        <f t="array" ref="AJ201">IF($C201="","",IFERROR(TRANSPOSE(_xlfn._xlws.FILTER(Listy!$D$2:$D$60,Listy!$C$2:$C$60=$C201)),""))</f>
        <v/>
      </c>
    </row>
    <row r="202" spans="7:36" ht="25" customHeight="1" x14ac:dyDescent="0.35">
      <c r="G202" s="15" t="str">
        <f t="shared" si="42"/>
        <v/>
      </c>
      <c r="H202" s="12" t="str">
        <f t="shared" ca="1" si="43"/>
        <v/>
      </c>
      <c r="I202" s="14"/>
      <c r="J202" s="1" t="str">
        <f>IF(COUNTA(A202:F2489)=0,"",IF(#REF!="","BRAK PROTOKOŁU","DODANY"))</f>
        <v/>
      </c>
      <c r="K202" s="1"/>
      <c r="M202" s="13" t="str" cm="1">
        <f t="array" ref="M202">IF($A202="","",IFERROR(TRANSPOSE(_xlfn._xlws.FILTER(Lokale!$C$3:$C$91,Lokale!$B$3:$B$91=$A202)),""))</f>
        <v/>
      </c>
      <c r="AJ202" s="13" t="str" cm="1">
        <f t="array" ref="AJ202">IF($C202="","",IFERROR(TRANSPOSE(_xlfn._xlws.FILTER(Listy!$D$2:$D$60,Listy!$C$2:$C$60=$C202)),""))</f>
        <v/>
      </c>
    </row>
    <row r="203" spans="7:36" ht="25" customHeight="1" x14ac:dyDescent="0.35">
      <c r="G203" s="15" t="str">
        <f t="shared" si="42"/>
        <v/>
      </c>
      <c r="H203" s="12" t="str">
        <f t="shared" ca="1" si="43"/>
        <v/>
      </c>
      <c r="I203" s="14"/>
      <c r="J203" s="1" t="str">
        <f>IF(COUNTA(A203:F2490)=0,"",IF(#REF!="","BRAK PROTOKOŁU","DODANY"))</f>
        <v/>
      </c>
      <c r="K203" s="1"/>
      <c r="M203" s="13" t="str" cm="1">
        <f t="array" ref="M203">IF($A203="","",IFERROR(TRANSPOSE(_xlfn._xlws.FILTER(Lokale!$C$3:$C$91,Lokale!$B$3:$B$91=$A203)),""))</f>
        <v/>
      </c>
      <c r="AJ203" s="13" t="str" cm="1">
        <f t="array" ref="AJ203">IF($C203="","",IFERROR(TRANSPOSE(_xlfn._xlws.FILTER(Listy!$D$2:$D$60,Listy!$C$2:$C$60=$C203)),""))</f>
        <v/>
      </c>
    </row>
    <row r="204" spans="7:36" ht="25" customHeight="1" x14ac:dyDescent="0.35">
      <c r="G204" s="15" t="str">
        <f t="shared" si="42"/>
        <v/>
      </c>
      <c r="H204" s="12" t="str">
        <f t="shared" ca="1" si="43"/>
        <v/>
      </c>
      <c r="I204" s="14"/>
      <c r="J204" s="1" t="str">
        <f>IF(COUNTA(A204:F2491)=0,"",IF(#REF!="","BRAK PROTOKOŁU","DODANY"))</f>
        <v/>
      </c>
      <c r="K204" s="1"/>
      <c r="M204" s="13" t="str" cm="1">
        <f t="array" ref="M204">IF($A204="","",IFERROR(TRANSPOSE(_xlfn._xlws.FILTER(Lokale!$C$3:$C$91,Lokale!$B$3:$B$91=$A204)),""))</f>
        <v/>
      </c>
      <c r="AJ204" s="13" t="str" cm="1">
        <f t="array" ref="AJ204">IF($C204="","",IFERROR(TRANSPOSE(_xlfn._xlws.FILTER(Listy!$D$2:$D$60,Listy!$C$2:$C$60=$C204)),""))</f>
        <v/>
      </c>
    </row>
    <row r="205" spans="7:36" ht="25" customHeight="1" x14ac:dyDescent="0.35">
      <c r="G205" s="15" t="str">
        <f t="shared" si="42"/>
        <v/>
      </c>
      <c r="H205" s="12" t="str">
        <f t="shared" ca="1" si="43"/>
        <v/>
      </c>
      <c r="I205" s="14"/>
      <c r="J205" s="1" t="str">
        <f>IF(COUNTA(A205:F2492)=0,"",IF(#REF!="","BRAK PROTOKOŁU","DODANY"))</f>
        <v/>
      </c>
      <c r="K205" s="1"/>
      <c r="M205" s="13" t="str" cm="1">
        <f t="array" ref="M205">IF($A205="","",IFERROR(TRANSPOSE(_xlfn._xlws.FILTER(Lokale!$C$3:$C$91,Lokale!$B$3:$B$91=$A205)),""))</f>
        <v/>
      </c>
      <c r="AJ205" s="13" t="str" cm="1">
        <f t="array" ref="AJ205">IF($C205="","",IFERROR(TRANSPOSE(_xlfn._xlws.FILTER(Listy!$D$2:$D$60,Listy!$C$2:$C$60=$C205)),""))</f>
        <v/>
      </c>
    </row>
    <row r="206" spans="7:36" ht="25" customHeight="1" x14ac:dyDescent="0.35">
      <c r="G206" s="15" t="str">
        <f t="shared" si="42"/>
        <v/>
      </c>
      <c r="H206" s="12" t="str">
        <f t="shared" ca="1" si="43"/>
        <v/>
      </c>
      <c r="I206" s="14"/>
      <c r="J206" s="1" t="str">
        <f>IF(COUNTA(A206:F2493)=0,"",IF(#REF!="","BRAK PROTOKOŁU","DODANY"))</f>
        <v/>
      </c>
      <c r="K206" s="1"/>
      <c r="M206" s="13" t="str" cm="1">
        <f t="array" ref="M206">IF($A206="","",IFERROR(TRANSPOSE(_xlfn._xlws.FILTER(Lokale!$C$3:$C$91,Lokale!$B$3:$B$91=$A206)),""))</f>
        <v/>
      </c>
      <c r="AJ206" s="13" t="str" cm="1">
        <f t="array" ref="AJ206">IF($C206="","",IFERROR(TRANSPOSE(_xlfn._xlws.FILTER(Listy!$D$2:$D$60,Listy!$C$2:$C$60=$C206)),""))</f>
        <v/>
      </c>
    </row>
    <row r="207" spans="7:36" ht="25" customHeight="1" x14ac:dyDescent="0.35">
      <c r="G207" s="15" t="str">
        <f t="shared" si="42"/>
        <v/>
      </c>
      <c r="H207" s="12" t="str">
        <f t="shared" ca="1" si="43"/>
        <v/>
      </c>
      <c r="I207" s="14"/>
      <c r="J207" s="1" t="str">
        <f>IF(COUNTA(A207:F2494)=0,"",IF(#REF!="","BRAK PROTOKOŁU","DODANY"))</f>
        <v/>
      </c>
      <c r="K207" s="1"/>
      <c r="M207" s="13" t="str" cm="1">
        <f t="array" ref="M207">IF($A207="","",IFERROR(TRANSPOSE(_xlfn._xlws.FILTER(Lokale!$C$3:$C$91,Lokale!$B$3:$B$91=$A207)),""))</f>
        <v/>
      </c>
      <c r="AJ207" s="13" t="str" cm="1">
        <f t="array" ref="AJ207">IF($C207="","",IFERROR(TRANSPOSE(_xlfn._xlws.FILTER(Listy!$D$2:$D$60,Listy!$C$2:$C$60=$C207)),""))</f>
        <v/>
      </c>
    </row>
    <row r="208" spans="7:36" ht="25" customHeight="1" x14ac:dyDescent="0.35">
      <c r="G208" s="15" t="str">
        <f t="shared" si="42"/>
        <v/>
      </c>
      <c r="H208" s="12" t="str">
        <f t="shared" ca="1" si="43"/>
        <v/>
      </c>
      <c r="I208" s="14"/>
      <c r="J208" s="1" t="str">
        <f>IF(COUNTA(A208:F2495)=0,"",IF(#REF!="","BRAK PROTOKOŁU","DODANY"))</f>
        <v/>
      </c>
      <c r="K208" s="1"/>
      <c r="M208" s="13" t="str" cm="1">
        <f t="array" ref="M208">IF($A208="","",IFERROR(TRANSPOSE(_xlfn._xlws.FILTER(Lokale!$C$3:$C$91,Lokale!$B$3:$B$91=$A208)),""))</f>
        <v/>
      </c>
      <c r="AJ208" s="13" t="str" cm="1">
        <f t="array" ref="AJ208">IF($C208="","",IFERROR(TRANSPOSE(_xlfn._xlws.FILTER(Listy!$D$2:$D$60,Listy!$C$2:$C$60=$C208)),""))</f>
        <v/>
      </c>
    </row>
    <row r="209" spans="7:36" ht="25" customHeight="1" x14ac:dyDescent="0.35">
      <c r="G209" s="15" t="str">
        <f t="shared" si="42"/>
        <v/>
      </c>
      <c r="H209" s="12" t="str">
        <f t="shared" ca="1" si="43"/>
        <v/>
      </c>
      <c r="I209" s="14"/>
      <c r="J209" s="1" t="str">
        <f>IF(COUNTA(A209:F2496)=0,"",IF(#REF!="","BRAK PROTOKOŁU","DODANY"))</f>
        <v/>
      </c>
      <c r="K209" s="1"/>
      <c r="M209" s="13" t="str" cm="1">
        <f t="array" ref="M209">IF($A209="","",IFERROR(TRANSPOSE(_xlfn._xlws.FILTER(Lokale!$C$3:$C$91,Lokale!$B$3:$B$91=$A209)),""))</f>
        <v/>
      </c>
      <c r="AJ209" s="13" t="str" cm="1">
        <f t="array" ref="AJ209">IF($C209="","",IFERROR(TRANSPOSE(_xlfn._xlws.FILTER(Listy!$D$2:$D$60,Listy!$C$2:$C$60=$C209)),""))</f>
        <v/>
      </c>
    </row>
    <row r="210" spans="7:36" ht="25" customHeight="1" x14ac:dyDescent="0.35">
      <c r="G210" s="15" t="str">
        <f t="shared" si="42"/>
        <v/>
      </c>
      <c r="H210" s="12" t="str">
        <f t="shared" ca="1" si="43"/>
        <v/>
      </c>
      <c r="I210" s="14"/>
      <c r="J210" s="1" t="str">
        <f>IF(COUNTA(A210:F2497)=0,"",IF(#REF!="","BRAK PROTOKOŁU","DODANY"))</f>
        <v/>
      </c>
      <c r="K210" s="1"/>
      <c r="M210" s="13" t="str" cm="1">
        <f t="array" ref="M210">IF($A210="","",IFERROR(TRANSPOSE(_xlfn._xlws.FILTER(Lokale!$C$3:$C$91,Lokale!$B$3:$B$91=$A210)),""))</f>
        <v/>
      </c>
      <c r="AJ210" s="13" t="str" cm="1">
        <f t="array" ref="AJ210">IF($C210="","",IFERROR(TRANSPOSE(_xlfn._xlws.FILTER(Listy!$D$2:$D$60,Listy!$C$2:$C$60=$C210)),""))</f>
        <v/>
      </c>
    </row>
    <row r="211" spans="7:36" ht="25" customHeight="1" x14ac:dyDescent="0.35">
      <c r="G211" s="15" t="str">
        <f t="shared" si="42"/>
        <v/>
      </c>
      <c r="H211" s="12" t="str">
        <f t="shared" ca="1" si="43"/>
        <v/>
      </c>
      <c r="I211" s="14"/>
      <c r="J211" s="1" t="str">
        <f>IF(COUNTA(A211:F2498)=0,"",IF(#REF!="","BRAK PROTOKOŁU","DODANY"))</f>
        <v/>
      </c>
      <c r="K211" s="1"/>
      <c r="M211" s="13" t="str" cm="1">
        <f t="array" ref="M211">IF($A211="","",IFERROR(TRANSPOSE(_xlfn._xlws.FILTER(Lokale!$C$3:$C$91,Lokale!$B$3:$B$91=$A211)),""))</f>
        <v/>
      </c>
      <c r="AJ211" s="13" t="str" cm="1">
        <f t="array" ref="AJ211">IF($C211="","",IFERROR(TRANSPOSE(_xlfn._xlws.FILTER(Listy!$D$2:$D$60,Listy!$C$2:$C$60=$C211)),""))</f>
        <v/>
      </c>
    </row>
    <row r="212" spans="7:36" ht="25" customHeight="1" x14ac:dyDescent="0.35">
      <c r="G212" s="15" t="str">
        <f t="shared" si="42"/>
        <v/>
      </c>
      <c r="H212" s="12" t="str">
        <f t="shared" ca="1" si="43"/>
        <v/>
      </c>
      <c r="I212" s="14"/>
      <c r="J212" s="1" t="str">
        <f>IF(COUNTA(A212:F2499)=0,"",IF(#REF!="","BRAK PROTOKOŁU","DODANY"))</f>
        <v/>
      </c>
      <c r="K212" s="1"/>
      <c r="M212" s="13" t="str" cm="1">
        <f t="array" ref="M212">IF($A212="","",IFERROR(TRANSPOSE(_xlfn._xlws.FILTER(Lokale!$C$3:$C$91,Lokale!$B$3:$B$91=$A212)),""))</f>
        <v/>
      </c>
      <c r="AJ212" s="13" t="str" cm="1">
        <f t="array" ref="AJ212">IF($C212="","",IFERROR(TRANSPOSE(_xlfn._xlws.FILTER(Listy!$D$2:$D$60,Listy!$C$2:$C$60=$C212)),""))</f>
        <v/>
      </c>
    </row>
    <row r="213" spans="7:36" ht="25" customHeight="1" x14ac:dyDescent="0.35">
      <c r="G213" s="15" t="str">
        <f t="shared" si="42"/>
        <v/>
      </c>
      <c r="H213" s="12" t="str">
        <f t="shared" ca="1" si="43"/>
        <v/>
      </c>
      <c r="I213" s="14"/>
      <c r="J213" s="1" t="str">
        <f>IF(COUNTA(A213:F2500)=0,"",IF(#REF!="","BRAK PROTOKOŁU","DODANY"))</f>
        <v/>
      </c>
      <c r="K213" s="1"/>
      <c r="M213" s="13" t="str" cm="1">
        <f t="array" ref="M213">IF($A213="","",IFERROR(TRANSPOSE(_xlfn._xlws.FILTER(Lokale!$C$3:$C$91,Lokale!$B$3:$B$91=$A213)),""))</f>
        <v/>
      </c>
      <c r="AJ213" s="13" t="str" cm="1">
        <f t="array" ref="AJ213">IF($C213="","",IFERROR(TRANSPOSE(_xlfn._xlws.FILTER(Listy!$D$2:$D$60,Listy!$C$2:$C$60=$C213)),""))</f>
        <v/>
      </c>
    </row>
    <row r="214" spans="7:36" ht="25" customHeight="1" x14ac:dyDescent="0.35">
      <c r="G214" s="15" t="str">
        <f t="shared" si="42"/>
        <v/>
      </c>
      <c r="H214" s="12" t="str">
        <f t="shared" ca="1" si="43"/>
        <v/>
      </c>
      <c r="I214" s="14"/>
      <c r="J214" s="1" t="str">
        <f>IF(COUNTA(A214:F2501)=0,"",IF(#REF!="","BRAK PROTOKOŁU","DODANY"))</f>
        <v/>
      </c>
      <c r="K214" s="1"/>
      <c r="M214" s="13" t="str" cm="1">
        <f t="array" ref="M214">IF($A214="","",IFERROR(TRANSPOSE(_xlfn._xlws.FILTER(Lokale!$C$3:$C$91,Lokale!$B$3:$B$91=$A214)),""))</f>
        <v/>
      </c>
      <c r="AJ214" s="13" t="str" cm="1">
        <f t="array" ref="AJ214">IF($C214="","",IFERROR(TRANSPOSE(_xlfn._xlws.FILTER(Listy!$D$2:$D$60,Listy!$C$2:$C$60=$C214)),""))</f>
        <v/>
      </c>
    </row>
    <row r="215" spans="7:36" ht="25" customHeight="1" x14ac:dyDescent="0.35">
      <c r="G215" s="15" t="str">
        <f t="shared" si="42"/>
        <v/>
      </c>
      <c r="H215" s="12" t="str">
        <f t="shared" ca="1" si="43"/>
        <v/>
      </c>
      <c r="I215" s="14"/>
      <c r="J215" s="1" t="str">
        <f>IF(COUNTA(A215:F2502)=0,"",IF(#REF!="","BRAK PROTOKOŁU","DODANY"))</f>
        <v/>
      </c>
      <c r="K215" s="1"/>
      <c r="M215" s="13" t="str" cm="1">
        <f t="array" ref="M215">IF($A215="","",IFERROR(TRANSPOSE(_xlfn._xlws.FILTER(Lokale!$C$3:$C$91,Lokale!$B$3:$B$91=$A215)),""))</f>
        <v/>
      </c>
      <c r="AJ215" s="13" t="str" cm="1">
        <f t="array" ref="AJ215">IF($C215="","",IFERROR(TRANSPOSE(_xlfn._xlws.FILTER(Listy!$D$2:$D$60,Listy!$C$2:$C$60=$C215)),""))</f>
        <v/>
      </c>
    </row>
    <row r="216" spans="7:36" ht="25" customHeight="1" x14ac:dyDescent="0.35">
      <c r="G216" s="15" t="str">
        <f t="shared" si="42"/>
        <v/>
      </c>
      <c r="H216" s="12" t="str">
        <f t="shared" ca="1" si="43"/>
        <v/>
      </c>
      <c r="I216" s="14"/>
      <c r="J216" s="1" t="str">
        <f>IF(COUNTA(A216:F2503)=0,"",IF(#REF!="","BRAK PROTOKOŁU","DODANY"))</f>
        <v/>
      </c>
      <c r="K216" s="1"/>
      <c r="M216" s="13" t="str" cm="1">
        <f t="array" ref="M216">IF($A216="","",IFERROR(TRANSPOSE(_xlfn._xlws.FILTER(Lokale!$C$3:$C$91,Lokale!$B$3:$B$91=$A216)),""))</f>
        <v/>
      </c>
      <c r="AJ216" s="13" t="str" cm="1">
        <f t="array" ref="AJ216">IF($C216="","",IFERROR(TRANSPOSE(_xlfn._xlws.FILTER(Listy!$D$2:$D$60,Listy!$C$2:$C$60=$C216)),""))</f>
        <v/>
      </c>
    </row>
    <row r="217" spans="7:36" ht="25" customHeight="1" x14ac:dyDescent="0.35">
      <c r="G217" s="15" t="str">
        <f t="shared" si="42"/>
        <v/>
      </c>
      <c r="H217" s="12" t="str">
        <f t="shared" ca="1" si="43"/>
        <v/>
      </c>
      <c r="I217" s="14"/>
      <c r="J217" s="1" t="str">
        <f>IF(COUNTA(A217:F2504)=0,"",IF(#REF!="","BRAK PROTOKOŁU","DODANY"))</f>
        <v/>
      </c>
      <c r="K217" s="1"/>
      <c r="M217" s="13" t="str" cm="1">
        <f t="array" ref="M217">IF($A217="","",IFERROR(TRANSPOSE(_xlfn._xlws.FILTER(Lokale!$C$3:$C$91,Lokale!$B$3:$B$91=$A217)),""))</f>
        <v/>
      </c>
      <c r="AJ217" s="13" t="str" cm="1">
        <f t="array" ref="AJ217">IF($C217="","",IFERROR(TRANSPOSE(_xlfn._xlws.FILTER(Listy!$D$2:$D$60,Listy!$C$2:$C$60=$C217)),""))</f>
        <v/>
      </c>
    </row>
    <row r="218" spans="7:36" ht="25" customHeight="1" x14ac:dyDescent="0.35">
      <c r="G218" s="15" t="str">
        <f t="shared" si="42"/>
        <v/>
      </c>
      <c r="H218" s="12" t="str">
        <f t="shared" ca="1" si="43"/>
        <v/>
      </c>
      <c r="I218" s="14"/>
      <c r="J218" s="1" t="str">
        <f>IF(COUNTA(A218:F2505)=0,"",IF(#REF!="","BRAK PROTOKOŁU","DODANY"))</f>
        <v/>
      </c>
      <c r="K218" s="1"/>
      <c r="M218" s="13" t="str" cm="1">
        <f t="array" ref="M218">IF($A218="","",IFERROR(TRANSPOSE(_xlfn._xlws.FILTER(Lokale!$C$3:$C$91,Lokale!$B$3:$B$91=$A218)),""))</f>
        <v/>
      </c>
      <c r="AJ218" s="13" t="str" cm="1">
        <f t="array" ref="AJ218">IF($C218="","",IFERROR(TRANSPOSE(_xlfn._xlws.FILTER(Listy!$D$2:$D$60,Listy!$C$2:$C$60=$C218)),""))</f>
        <v/>
      </c>
    </row>
    <row r="219" spans="7:36" ht="25" customHeight="1" x14ac:dyDescent="0.35">
      <c r="G219" s="15" t="str">
        <f t="shared" si="42"/>
        <v/>
      </c>
      <c r="H219" s="12" t="str">
        <f t="shared" ca="1" si="43"/>
        <v/>
      </c>
      <c r="I219" s="14"/>
      <c r="J219" s="1" t="str">
        <f>IF(COUNTA(A219:F2506)=0,"",IF(#REF!="","BRAK PROTOKOŁU","DODANY"))</f>
        <v/>
      </c>
      <c r="K219" s="1"/>
      <c r="M219" s="13" t="str" cm="1">
        <f t="array" ref="M219">IF($A219="","",IFERROR(TRANSPOSE(_xlfn._xlws.FILTER(Lokale!$C$3:$C$91,Lokale!$B$3:$B$91=$A219)),""))</f>
        <v/>
      </c>
      <c r="AJ219" s="13" t="str" cm="1">
        <f t="array" ref="AJ219">IF($C219="","",IFERROR(TRANSPOSE(_xlfn._xlws.FILTER(Listy!$D$2:$D$60,Listy!$C$2:$C$60=$C219)),""))</f>
        <v/>
      </c>
    </row>
    <row r="220" spans="7:36" ht="25" customHeight="1" x14ac:dyDescent="0.35">
      <c r="G220" s="15" t="str">
        <f t="shared" si="42"/>
        <v/>
      </c>
      <c r="H220" s="12" t="str">
        <f t="shared" ca="1" si="43"/>
        <v/>
      </c>
      <c r="I220" s="14"/>
      <c r="J220" s="1" t="str">
        <f>IF(COUNTA(A220:F2507)=0,"",IF(#REF!="","BRAK PROTOKOŁU","DODANY"))</f>
        <v/>
      </c>
      <c r="K220" s="1"/>
      <c r="M220" s="13" t="str" cm="1">
        <f t="array" ref="M220">IF($A220="","",IFERROR(TRANSPOSE(_xlfn._xlws.FILTER(Lokale!$C$3:$C$91,Lokale!$B$3:$B$91=$A220)),""))</f>
        <v/>
      </c>
      <c r="AJ220" s="13" t="str" cm="1">
        <f t="array" ref="AJ220">IF($C220="","",IFERROR(TRANSPOSE(_xlfn._xlws.FILTER(Listy!$D$2:$D$60,Listy!$C$2:$C$60=$C220)),""))</f>
        <v/>
      </c>
    </row>
    <row r="221" spans="7:36" ht="25" customHeight="1" x14ac:dyDescent="0.35">
      <c r="G221" s="15" t="str">
        <f t="shared" si="42"/>
        <v/>
      </c>
      <c r="H221" s="12" t="str">
        <f t="shared" ca="1" si="43"/>
        <v/>
      </c>
      <c r="I221" s="14"/>
      <c r="J221" s="1" t="str">
        <f>IF(COUNTA(A221:F2508)=0,"",IF(#REF!="","BRAK PROTOKOŁU","DODANY"))</f>
        <v/>
      </c>
      <c r="K221" s="1"/>
      <c r="M221" s="13" t="str" cm="1">
        <f t="array" ref="M221">IF($A221="","",IFERROR(TRANSPOSE(_xlfn._xlws.FILTER(Lokale!$C$3:$C$91,Lokale!$B$3:$B$91=$A221)),""))</f>
        <v/>
      </c>
      <c r="AJ221" s="13" t="str" cm="1">
        <f t="array" ref="AJ221">IF($C221="","",IFERROR(TRANSPOSE(_xlfn._xlws.FILTER(Listy!$D$2:$D$60,Listy!$C$2:$C$60=$C221)),""))</f>
        <v/>
      </c>
    </row>
    <row r="222" spans="7:36" ht="25" customHeight="1" x14ac:dyDescent="0.35">
      <c r="G222" s="15" t="str">
        <f t="shared" si="42"/>
        <v/>
      </c>
      <c r="H222" s="12" t="str">
        <f t="shared" ca="1" si="43"/>
        <v/>
      </c>
      <c r="I222" s="14"/>
      <c r="J222" s="1" t="str">
        <f>IF(COUNTA(A222:F2509)=0,"",IF(#REF!="","BRAK PROTOKOŁU","DODANY"))</f>
        <v/>
      </c>
      <c r="K222" s="1"/>
      <c r="M222" s="13" t="str" cm="1">
        <f t="array" ref="M222">IF($A222="","",IFERROR(TRANSPOSE(_xlfn._xlws.FILTER(Lokale!$C$3:$C$91,Lokale!$B$3:$B$91=$A222)),""))</f>
        <v/>
      </c>
      <c r="AJ222" s="13" t="str" cm="1">
        <f t="array" ref="AJ222">IF($C222="","",IFERROR(TRANSPOSE(_xlfn._xlws.FILTER(Listy!$D$2:$D$60,Listy!$C$2:$C$60=$C222)),""))</f>
        <v/>
      </c>
    </row>
    <row r="223" spans="7:36" ht="25" customHeight="1" x14ac:dyDescent="0.35">
      <c r="G223" s="15" t="str">
        <f t="shared" si="42"/>
        <v/>
      </c>
      <c r="H223" s="12" t="str">
        <f t="shared" ca="1" si="43"/>
        <v/>
      </c>
      <c r="I223" s="14"/>
      <c r="J223" s="1" t="str">
        <f>IF(COUNTA(A223:F2510)=0,"",IF(#REF!="","BRAK PROTOKOŁU","DODANY"))</f>
        <v/>
      </c>
      <c r="K223" s="1"/>
      <c r="M223" s="13" t="str" cm="1">
        <f t="array" ref="M223">IF($A223="","",IFERROR(TRANSPOSE(_xlfn._xlws.FILTER(Lokale!$C$3:$C$91,Lokale!$B$3:$B$91=$A223)),""))</f>
        <v/>
      </c>
      <c r="AJ223" s="13" t="str" cm="1">
        <f t="array" ref="AJ223">IF($C223="","",IFERROR(TRANSPOSE(_xlfn._xlws.FILTER(Listy!$D$2:$D$60,Listy!$C$2:$C$60=$C223)),""))</f>
        <v/>
      </c>
    </row>
    <row r="224" spans="7:36" ht="25" customHeight="1" x14ac:dyDescent="0.35">
      <c r="G224" s="15" t="str">
        <f t="shared" si="42"/>
        <v/>
      </c>
      <c r="H224" s="12" t="str">
        <f t="shared" ca="1" si="43"/>
        <v/>
      </c>
      <c r="I224" s="14"/>
      <c r="J224" s="1" t="str">
        <f>IF(COUNTA(A224:F2511)=0,"",IF(#REF!="","BRAK PROTOKOŁU","DODANY"))</f>
        <v/>
      </c>
      <c r="K224" s="1"/>
      <c r="M224" s="13" t="str" cm="1">
        <f t="array" ref="M224">IF($A224="","",IFERROR(TRANSPOSE(_xlfn._xlws.FILTER(Lokale!$C$3:$C$91,Lokale!$B$3:$B$91=$A224)),""))</f>
        <v/>
      </c>
      <c r="AJ224" s="13" t="str" cm="1">
        <f t="array" ref="AJ224">IF($C224="","",IFERROR(TRANSPOSE(_xlfn._xlws.FILTER(Listy!$D$2:$D$60,Listy!$C$2:$C$60=$C224)),""))</f>
        <v/>
      </c>
    </row>
    <row r="225" spans="7:36" ht="25" customHeight="1" x14ac:dyDescent="0.35">
      <c r="G225" s="15" t="str">
        <f t="shared" si="42"/>
        <v/>
      </c>
      <c r="H225" s="12" t="str">
        <f t="shared" ca="1" si="43"/>
        <v/>
      </c>
      <c r="I225" s="14"/>
      <c r="J225" s="1" t="str">
        <f>IF(COUNTA(A225:F2512)=0,"",IF(#REF!="","BRAK PROTOKOŁU","DODANY"))</f>
        <v/>
      </c>
      <c r="K225" s="1"/>
      <c r="M225" s="13" t="str" cm="1">
        <f t="array" ref="M225">IF($A225="","",IFERROR(TRANSPOSE(_xlfn._xlws.FILTER(Lokale!$C$3:$C$91,Lokale!$B$3:$B$91=$A225)),""))</f>
        <v/>
      </c>
      <c r="AJ225" s="13" t="str" cm="1">
        <f t="array" ref="AJ225">IF($C225="","",IFERROR(TRANSPOSE(_xlfn._xlws.FILTER(Listy!$D$2:$D$60,Listy!$C$2:$C$60=$C225)),""))</f>
        <v/>
      </c>
    </row>
    <row r="226" spans="7:36" ht="25" customHeight="1" x14ac:dyDescent="0.35">
      <c r="G226" s="15" t="str">
        <f t="shared" ref="G226:G289" si="44">IF(OR(E226="",F226=""),"",DATE(YEAR(E226),MONTH(E226)+F226,DAY(E226)))</f>
        <v/>
      </c>
      <c r="H226" s="12" t="str">
        <f t="shared" ref="H226:H289" ca="1" si="45">IF(G226="","",IF(G226&lt;TODAY(),"PO TERMINIE",IF(G226&lt;=TODAY()+14,"DO WYKONANIA","OK")))</f>
        <v/>
      </c>
      <c r="I226" s="14"/>
      <c r="J226" s="1" t="str">
        <f>IF(COUNTA(A226:F2513)=0,"",IF(#REF!="","BRAK PROTOKOŁU","DODANY"))</f>
        <v/>
      </c>
      <c r="K226" s="1"/>
      <c r="M226" s="13" t="str" cm="1">
        <f t="array" ref="M226">IF($A226="","",IFERROR(TRANSPOSE(_xlfn._xlws.FILTER(Lokale!$C$3:$C$91,Lokale!$B$3:$B$91=$A226)),""))</f>
        <v/>
      </c>
      <c r="AJ226" s="13" t="str" cm="1">
        <f t="array" ref="AJ226">IF($C226="","",IFERROR(TRANSPOSE(_xlfn._xlws.FILTER(Listy!$D$2:$D$60,Listy!$C$2:$C$60=$C226)),""))</f>
        <v/>
      </c>
    </row>
    <row r="227" spans="7:36" ht="25" customHeight="1" x14ac:dyDescent="0.35">
      <c r="G227" s="15" t="str">
        <f t="shared" si="44"/>
        <v/>
      </c>
      <c r="H227" s="12" t="str">
        <f t="shared" ca="1" si="45"/>
        <v/>
      </c>
      <c r="I227" s="14"/>
      <c r="J227" s="1" t="str">
        <f>IF(COUNTA(A227:F2514)=0,"",IF(#REF!="","BRAK PROTOKOŁU","DODANY"))</f>
        <v/>
      </c>
      <c r="K227" s="1"/>
      <c r="M227" s="13" t="str" cm="1">
        <f t="array" ref="M227">IF($A227="","",IFERROR(TRANSPOSE(_xlfn._xlws.FILTER(Lokale!$C$3:$C$91,Lokale!$B$3:$B$91=$A227)),""))</f>
        <v/>
      </c>
      <c r="AJ227" s="13" t="str" cm="1">
        <f t="array" ref="AJ227">IF($C227="","",IFERROR(TRANSPOSE(_xlfn._xlws.FILTER(Listy!$D$2:$D$60,Listy!$C$2:$C$60=$C227)),""))</f>
        <v/>
      </c>
    </row>
    <row r="228" spans="7:36" ht="25" customHeight="1" x14ac:dyDescent="0.35">
      <c r="G228" s="15" t="str">
        <f t="shared" si="44"/>
        <v/>
      </c>
      <c r="H228" s="12" t="str">
        <f t="shared" ca="1" si="45"/>
        <v/>
      </c>
      <c r="I228" s="14"/>
      <c r="J228" s="1" t="str">
        <f>IF(COUNTA(A228:F2515)=0,"",IF(#REF!="","BRAK PROTOKOŁU","DODANY"))</f>
        <v/>
      </c>
      <c r="K228" s="1"/>
      <c r="M228" s="13" t="str" cm="1">
        <f t="array" ref="M228">IF($A228="","",IFERROR(TRANSPOSE(_xlfn._xlws.FILTER(Lokale!$C$3:$C$91,Lokale!$B$3:$B$91=$A228)),""))</f>
        <v/>
      </c>
      <c r="AJ228" s="13" t="str" cm="1">
        <f t="array" ref="AJ228">IF($C228="","",IFERROR(TRANSPOSE(_xlfn._xlws.FILTER(Listy!$D$2:$D$60,Listy!$C$2:$C$60=$C228)),""))</f>
        <v/>
      </c>
    </row>
    <row r="229" spans="7:36" ht="25" customHeight="1" x14ac:dyDescent="0.35">
      <c r="G229" s="15" t="str">
        <f t="shared" si="44"/>
        <v/>
      </c>
      <c r="H229" s="12" t="str">
        <f t="shared" ca="1" si="45"/>
        <v/>
      </c>
      <c r="I229" s="14"/>
      <c r="J229" s="1" t="str">
        <f>IF(COUNTA(A229:F2516)=0,"",IF(#REF!="","BRAK PROTOKOŁU","DODANY"))</f>
        <v/>
      </c>
      <c r="K229" s="1"/>
      <c r="M229" s="13" t="str" cm="1">
        <f t="array" ref="M229">IF($A229="","",IFERROR(TRANSPOSE(_xlfn._xlws.FILTER(Lokale!$C$3:$C$91,Lokale!$B$3:$B$91=$A229)),""))</f>
        <v/>
      </c>
      <c r="AJ229" s="13" t="str" cm="1">
        <f t="array" ref="AJ229">IF($C229="","",IFERROR(TRANSPOSE(_xlfn._xlws.FILTER(Listy!$D$2:$D$60,Listy!$C$2:$C$60=$C229)),""))</f>
        <v/>
      </c>
    </row>
    <row r="230" spans="7:36" ht="25" customHeight="1" x14ac:dyDescent="0.35">
      <c r="G230" s="15" t="str">
        <f t="shared" si="44"/>
        <v/>
      </c>
      <c r="H230" s="12" t="str">
        <f t="shared" ca="1" si="45"/>
        <v/>
      </c>
      <c r="I230" s="14"/>
      <c r="J230" s="1" t="str">
        <f>IF(COUNTA(A230:F2517)=0,"",IF(#REF!="","BRAK PROTOKOŁU","DODANY"))</f>
        <v/>
      </c>
      <c r="K230" s="1"/>
      <c r="M230" s="13" t="str" cm="1">
        <f t="array" ref="M230">IF($A230="","",IFERROR(TRANSPOSE(_xlfn._xlws.FILTER(Lokale!$C$3:$C$91,Lokale!$B$3:$B$91=$A230)),""))</f>
        <v/>
      </c>
      <c r="AJ230" s="13" t="str" cm="1">
        <f t="array" ref="AJ230">IF($C230="","",IFERROR(TRANSPOSE(_xlfn._xlws.FILTER(Listy!$D$2:$D$60,Listy!$C$2:$C$60=$C230)),""))</f>
        <v/>
      </c>
    </row>
    <row r="231" spans="7:36" ht="25" customHeight="1" x14ac:dyDescent="0.35">
      <c r="G231" s="15" t="str">
        <f t="shared" si="44"/>
        <v/>
      </c>
      <c r="H231" s="12" t="str">
        <f t="shared" ca="1" si="45"/>
        <v/>
      </c>
      <c r="I231" s="14"/>
      <c r="J231" s="1" t="str">
        <f>IF(COUNTA(A231:F2518)=0,"",IF(#REF!="","BRAK PROTOKOŁU","DODANY"))</f>
        <v/>
      </c>
      <c r="K231" s="1"/>
      <c r="M231" s="13" t="str" cm="1">
        <f t="array" ref="M231">IF($A231="","",IFERROR(TRANSPOSE(_xlfn._xlws.FILTER(Lokale!$C$3:$C$91,Lokale!$B$3:$B$91=$A231)),""))</f>
        <v/>
      </c>
      <c r="AJ231" s="13" t="str" cm="1">
        <f t="array" ref="AJ231">IF($C231="","",IFERROR(TRANSPOSE(_xlfn._xlws.FILTER(Listy!$D$2:$D$60,Listy!$C$2:$C$60=$C231)),""))</f>
        <v/>
      </c>
    </row>
    <row r="232" spans="7:36" ht="25" customHeight="1" x14ac:dyDescent="0.35">
      <c r="G232" s="15" t="str">
        <f t="shared" si="44"/>
        <v/>
      </c>
      <c r="H232" s="12" t="str">
        <f t="shared" ca="1" si="45"/>
        <v/>
      </c>
      <c r="I232" s="14"/>
      <c r="J232" s="1" t="str">
        <f>IF(COUNTA(A232:F2519)=0,"",IF(#REF!="","BRAK PROTOKOŁU","DODANY"))</f>
        <v/>
      </c>
      <c r="K232" s="1"/>
      <c r="M232" s="13" t="str" cm="1">
        <f t="array" ref="M232">IF($A232="","",IFERROR(TRANSPOSE(_xlfn._xlws.FILTER(Lokale!$C$3:$C$91,Lokale!$B$3:$B$91=$A232)),""))</f>
        <v/>
      </c>
      <c r="AJ232" s="13" t="str" cm="1">
        <f t="array" ref="AJ232">IF($C232="","",IFERROR(TRANSPOSE(_xlfn._xlws.FILTER(Listy!$D$2:$D$60,Listy!$C$2:$C$60=$C232)),""))</f>
        <v/>
      </c>
    </row>
    <row r="233" spans="7:36" ht="25" customHeight="1" x14ac:dyDescent="0.35">
      <c r="G233" s="15" t="str">
        <f t="shared" si="44"/>
        <v/>
      </c>
      <c r="H233" s="12" t="str">
        <f t="shared" ca="1" si="45"/>
        <v/>
      </c>
      <c r="I233" s="14"/>
      <c r="J233" s="1" t="str">
        <f>IF(COUNTA(A233:F2520)=0,"",IF(#REF!="","BRAK PROTOKOŁU","DODANY"))</f>
        <v/>
      </c>
      <c r="K233" s="1"/>
      <c r="M233" s="13" t="str" cm="1">
        <f t="array" ref="M233">IF($A233="","",IFERROR(TRANSPOSE(_xlfn._xlws.FILTER(Lokale!$C$3:$C$91,Lokale!$B$3:$B$91=$A233)),""))</f>
        <v/>
      </c>
      <c r="AJ233" s="13" t="str" cm="1">
        <f t="array" ref="AJ233">IF($C233="","",IFERROR(TRANSPOSE(_xlfn._xlws.FILTER(Listy!$D$2:$D$60,Listy!$C$2:$C$60=$C233)),""))</f>
        <v/>
      </c>
    </row>
    <row r="234" spans="7:36" ht="25" customHeight="1" x14ac:dyDescent="0.35">
      <c r="G234" s="15" t="str">
        <f t="shared" si="44"/>
        <v/>
      </c>
      <c r="H234" s="12" t="str">
        <f t="shared" ca="1" si="45"/>
        <v/>
      </c>
      <c r="I234" s="14"/>
      <c r="J234" s="1" t="str">
        <f>IF(COUNTA(A234:F2521)=0,"",IF(#REF!="","BRAK PROTOKOŁU","DODANY"))</f>
        <v/>
      </c>
      <c r="K234" s="1"/>
      <c r="M234" s="13" t="str" cm="1">
        <f t="array" ref="M234">IF($A234="","",IFERROR(TRANSPOSE(_xlfn._xlws.FILTER(Lokale!$C$3:$C$91,Lokale!$B$3:$B$91=$A234)),""))</f>
        <v/>
      </c>
      <c r="AJ234" s="13" t="str" cm="1">
        <f t="array" ref="AJ234">IF($C234="","",IFERROR(TRANSPOSE(_xlfn._xlws.FILTER(Listy!$D$2:$D$60,Listy!$C$2:$C$60=$C234)),""))</f>
        <v/>
      </c>
    </row>
    <row r="235" spans="7:36" ht="25" customHeight="1" x14ac:dyDescent="0.35">
      <c r="G235" s="15" t="str">
        <f t="shared" si="44"/>
        <v/>
      </c>
      <c r="H235" s="12" t="str">
        <f t="shared" ca="1" si="45"/>
        <v/>
      </c>
      <c r="I235" s="14"/>
      <c r="J235" s="1" t="str">
        <f>IF(COUNTA(A235:F2522)=0,"",IF(#REF!="","BRAK PROTOKOŁU","DODANY"))</f>
        <v/>
      </c>
      <c r="K235" s="1"/>
      <c r="M235" s="13" t="str" cm="1">
        <f t="array" ref="M235">IF($A235="","",IFERROR(TRANSPOSE(_xlfn._xlws.FILTER(Lokale!$C$3:$C$91,Lokale!$B$3:$B$91=$A235)),""))</f>
        <v/>
      </c>
      <c r="AJ235" s="13" t="str" cm="1">
        <f t="array" ref="AJ235">IF($C235="","",IFERROR(TRANSPOSE(_xlfn._xlws.FILTER(Listy!$D$2:$D$60,Listy!$C$2:$C$60=$C235)),""))</f>
        <v/>
      </c>
    </row>
    <row r="236" spans="7:36" ht="25" customHeight="1" x14ac:dyDescent="0.35">
      <c r="G236" s="15" t="str">
        <f t="shared" si="44"/>
        <v/>
      </c>
      <c r="H236" s="12" t="str">
        <f t="shared" ca="1" si="45"/>
        <v/>
      </c>
      <c r="I236" s="14"/>
      <c r="J236" s="1" t="str">
        <f>IF(COUNTA(A236:F2523)=0,"",IF(#REF!="","BRAK PROTOKOŁU","DODANY"))</f>
        <v/>
      </c>
      <c r="K236" s="1"/>
      <c r="M236" s="13" t="str" cm="1">
        <f t="array" ref="M236">IF($A236="","",IFERROR(TRANSPOSE(_xlfn._xlws.FILTER(Lokale!$C$3:$C$91,Lokale!$B$3:$B$91=$A236)),""))</f>
        <v/>
      </c>
      <c r="AJ236" s="13" t="str" cm="1">
        <f t="array" ref="AJ236">IF($C236="","",IFERROR(TRANSPOSE(_xlfn._xlws.FILTER(Listy!$D$2:$D$60,Listy!$C$2:$C$60=$C236)),""))</f>
        <v/>
      </c>
    </row>
    <row r="237" spans="7:36" ht="25" customHeight="1" x14ac:dyDescent="0.35">
      <c r="G237" s="15" t="str">
        <f t="shared" si="44"/>
        <v/>
      </c>
      <c r="H237" s="12" t="str">
        <f t="shared" ca="1" si="45"/>
        <v/>
      </c>
      <c r="I237" s="14"/>
      <c r="J237" s="1" t="str">
        <f>IF(COUNTA(A237:F2524)=0,"",IF(#REF!="","BRAK PROTOKOŁU","DODANY"))</f>
        <v/>
      </c>
      <c r="K237" s="1"/>
      <c r="M237" s="13" t="str" cm="1">
        <f t="array" ref="M237">IF($A237="","",IFERROR(TRANSPOSE(_xlfn._xlws.FILTER(Lokale!$C$3:$C$91,Lokale!$B$3:$B$91=$A237)),""))</f>
        <v/>
      </c>
      <c r="AJ237" s="13" t="str" cm="1">
        <f t="array" ref="AJ237">IF($C237="","",IFERROR(TRANSPOSE(_xlfn._xlws.FILTER(Listy!$D$2:$D$60,Listy!$C$2:$C$60=$C237)),""))</f>
        <v/>
      </c>
    </row>
    <row r="238" spans="7:36" ht="25" customHeight="1" x14ac:dyDescent="0.35">
      <c r="G238" s="15" t="str">
        <f t="shared" si="44"/>
        <v/>
      </c>
      <c r="H238" s="12" t="str">
        <f t="shared" ca="1" si="45"/>
        <v/>
      </c>
      <c r="I238" s="14"/>
      <c r="J238" s="1" t="str">
        <f>IF(COUNTA(A238:F2525)=0,"",IF(#REF!="","BRAK PROTOKOŁU","DODANY"))</f>
        <v/>
      </c>
      <c r="K238" s="1"/>
      <c r="M238" s="13" t="str" cm="1">
        <f t="array" ref="M238">IF($A238="","",IFERROR(TRANSPOSE(_xlfn._xlws.FILTER(Lokale!$C$3:$C$91,Lokale!$B$3:$B$91=$A238)),""))</f>
        <v/>
      </c>
      <c r="AJ238" s="13" t="str" cm="1">
        <f t="array" ref="AJ238">IF($C238="","",IFERROR(TRANSPOSE(_xlfn._xlws.FILTER(Listy!$D$2:$D$60,Listy!$C$2:$C$60=$C238)),""))</f>
        <v/>
      </c>
    </row>
    <row r="239" spans="7:36" ht="25" customHeight="1" x14ac:dyDescent="0.35">
      <c r="G239" s="15" t="str">
        <f t="shared" si="44"/>
        <v/>
      </c>
      <c r="H239" s="12" t="str">
        <f t="shared" ca="1" si="45"/>
        <v/>
      </c>
      <c r="I239" s="14"/>
      <c r="J239" s="1" t="str">
        <f>IF(COUNTA(A239:F2526)=0,"",IF(#REF!="","BRAK PROTOKOŁU","DODANY"))</f>
        <v/>
      </c>
      <c r="K239" s="1"/>
      <c r="M239" s="13" t="str" cm="1">
        <f t="array" ref="M239">IF($A239="","",IFERROR(TRANSPOSE(_xlfn._xlws.FILTER(Lokale!$C$3:$C$91,Lokale!$B$3:$B$91=$A239)),""))</f>
        <v/>
      </c>
      <c r="AJ239" s="13" t="str" cm="1">
        <f t="array" ref="AJ239">IF($C239="","",IFERROR(TRANSPOSE(_xlfn._xlws.FILTER(Listy!$D$2:$D$60,Listy!$C$2:$C$60=$C239)),""))</f>
        <v/>
      </c>
    </row>
    <row r="240" spans="7:36" ht="25" customHeight="1" x14ac:dyDescent="0.35">
      <c r="G240" s="15" t="str">
        <f t="shared" si="44"/>
        <v/>
      </c>
      <c r="H240" s="12" t="str">
        <f t="shared" ca="1" si="45"/>
        <v/>
      </c>
      <c r="I240" s="14"/>
      <c r="J240" s="1" t="str">
        <f>IF(COUNTA(A240:F2527)=0,"",IF(#REF!="","BRAK PROTOKOŁU","DODANY"))</f>
        <v/>
      </c>
      <c r="K240" s="1"/>
      <c r="M240" s="13" t="str" cm="1">
        <f t="array" ref="M240">IF($A240="","",IFERROR(TRANSPOSE(_xlfn._xlws.FILTER(Lokale!$C$3:$C$91,Lokale!$B$3:$B$91=$A240)),""))</f>
        <v/>
      </c>
      <c r="AJ240" s="13" t="str" cm="1">
        <f t="array" ref="AJ240">IF($C240="","",IFERROR(TRANSPOSE(_xlfn._xlws.FILTER(Listy!$D$2:$D$60,Listy!$C$2:$C$60=$C240)),""))</f>
        <v/>
      </c>
    </row>
    <row r="241" spans="7:36" ht="25" customHeight="1" x14ac:dyDescent="0.35">
      <c r="G241" s="15" t="str">
        <f t="shared" si="44"/>
        <v/>
      </c>
      <c r="H241" s="12" t="str">
        <f t="shared" ca="1" si="45"/>
        <v/>
      </c>
      <c r="I241" s="14"/>
      <c r="J241" s="1" t="str">
        <f>IF(COUNTA(A241:F2528)=0,"",IF(#REF!="","BRAK PROTOKOŁU","DODANY"))</f>
        <v/>
      </c>
      <c r="K241" s="1"/>
      <c r="M241" s="13" t="str" cm="1">
        <f t="array" ref="M241">IF($A241="","",IFERROR(TRANSPOSE(_xlfn._xlws.FILTER(Lokale!$C$3:$C$91,Lokale!$B$3:$B$91=$A241)),""))</f>
        <v/>
      </c>
      <c r="AJ241" s="13" t="str" cm="1">
        <f t="array" ref="AJ241">IF($C241="","",IFERROR(TRANSPOSE(_xlfn._xlws.FILTER(Listy!$D$2:$D$60,Listy!$C$2:$C$60=$C241)),""))</f>
        <v/>
      </c>
    </row>
    <row r="242" spans="7:36" ht="25" customHeight="1" x14ac:dyDescent="0.35">
      <c r="G242" s="15" t="str">
        <f t="shared" si="44"/>
        <v/>
      </c>
      <c r="H242" s="12" t="str">
        <f t="shared" ca="1" si="45"/>
        <v/>
      </c>
      <c r="I242" s="14"/>
      <c r="J242" s="1" t="str">
        <f>IF(COUNTA(A242:F2529)=0,"",IF(#REF!="","BRAK PROTOKOŁU","DODANY"))</f>
        <v/>
      </c>
      <c r="K242" s="1"/>
      <c r="M242" s="13" t="str" cm="1">
        <f t="array" ref="M242">IF($A242="","",IFERROR(TRANSPOSE(_xlfn._xlws.FILTER(Lokale!$C$3:$C$91,Lokale!$B$3:$B$91=$A242)),""))</f>
        <v/>
      </c>
      <c r="AJ242" s="13" t="str" cm="1">
        <f t="array" ref="AJ242">IF($C242="","",IFERROR(TRANSPOSE(_xlfn._xlws.FILTER(Listy!$D$2:$D$60,Listy!$C$2:$C$60=$C242)),""))</f>
        <v/>
      </c>
    </row>
    <row r="243" spans="7:36" ht="25" customHeight="1" x14ac:dyDescent="0.35">
      <c r="G243" s="15" t="str">
        <f t="shared" si="44"/>
        <v/>
      </c>
      <c r="H243" s="12" t="str">
        <f t="shared" ca="1" si="45"/>
        <v/>
      </c>
      <c r="I243" s="14"/>
      <c r="J243" s="1" t="str">
        <f>IF(COUNTA(A243:F2530)=0,"",IF(#REF!="","BRAK PROTOKOŁU","DODANY"))</f>
        <v/>
      </c>
      <c r="K243" s="1"/>
      <c r="M243" s="13" t="str" cm="1">
        <f t="array" ref="M243">IF($A243="","",IFERROR(TRANSPOSE(_xlfn._xlws.FILTER(Lokale!$C$3:$C$91,Lokale!$B$3:$B$91=$A243)),""))</f>
        <v/>
      </c>
      <c r="AJ243" s="13" t="str" cm="1">
        <f t="array" ref="AJ243">IF($C243="","",IFERROR(TRANSPOSE(_xlfn._xlws.FILTER(Listy!$D$2:$D$60,Listy!$C$2:$C$60=$C243)),""))</f>
        <v/>
      </c>
    </row>
    <row r="244" spans="7:36" ht="25" customHeight="1" x14ac:dyDescent="0.35">
      <c r="G244" s="15" t="str">
        <f t="shared" si="44"/>
        <v/>
      </c>
      <c r="H244" s="12" t="str">
        <f t="shared" ca="1" si="45"/>
        <v/>
      </c>
      <c r="I244" s="14"/>
      <c r="J244" s="1" t="str">
        <f>IF(COUNTA(A244:F2531)=0,"",IF(#REF!="","BRAK PROTOKOŁU","DODANY"))</f>
        <v/>
      </c>
      <c r="K244" s="1"/>
      <c r="M244" s="13" t="str" cm="1">
        <f t="array" ref="M244">IF($A244="","",IFERROR(TRANSPOSE(_xlfn._xlws.FILTER(Lokale!$C$3:$C$91,Lokale!$B$3:$B$91=$A244)),""))</f>
        <v/>
      </c>
      <c r="AJ244" s="13" t="str" cm="1">
        <f t="array" ref="AJ244">IF($C244="","",IFERROR(TRANSPOSE(_xlfn._xlws.FILTER(Listy!$D$2:$D$60,Listy!$C$2:$C$60=$C244)),""))</f>
        <v/>
      </c>
    </row>
    <row r="245" spans="7:36" ht="25" customHeight="1" x14ac:dyDescent="0.35">
      <c r="G245" s="15" t="str">
        <f t="shared" si="44"/>
        <v/>
      </c>
      <c r="H245" s="12" t="str">
        <f t="shared" ca="1" si="45"/>
        <v/>
      </c>
      <c r="I245" s="14"/>
      <c r="J245" s="1" t="str">
        <f>IF(COUNTA(A245:F2532)=0,"",IF(#REF!="","BRAK PROTOKOŁU","DODANY"))</f>
        <v/>
      </c>
      <c r="K245" s="1"/>
      <c r="M245" s="13" t="str" cm="1">
        <f t="array" ref="M245">IF($A245="","",IFERROR(TRANSPOSE(_xlfn._xlws.FILTER(Lokale!$C$3:$C$91,Lokale!$B$3:$B$91=$A245)),""))</f>
        <v/>
      </c>
      <c r="AJ245" s="13" t="str" cm="1">
        <f t="array" ref="AJ245">IF($C245="","",IFERROR(TRANSPOSE(_xlfn._xlws.FILTER(Listy!$D$2:$D$60,Listy!$C$2:$C$60=$C245)),""))</f>
        <v/>
      </c>
    </row>
    <row r="246" spans="7:36" ht="25" customHeight="1" x14ac:dyDescent="0.35">
      <c r="G246" s="15" t="str">
        <f t="shared" si="44"/>
        <v/>
      </c>
      <c r="H246" s="12" t="str">
        <f t="shared" ca="1" si="45"/>
        <v/>
      </c>
      <c r="I246" s="14"/>
      <c r="J246" s="1" t="str">
        <f>IF(COUNTA(A246:F2533)=0,"",IF(#REF!="","BRAK PROTOKOŁU","DODANY"))</f>
        <v/>
      </c>
      <c r="K246" s="1"/>
      <c r="M246" s="13" t="str" cm="1">
        <f t="array" ref="M246">IF($A246="","",IFERROR(TRANSPOSE(_xlfn._xlws.FILTER(Lokale!$C$3:$C$91,Lokale!$B$3:$B$91=$A246)),""))</f>
        <v/>
      </c>
      <c r="AJ246" s="13" t="str" cm="1">
        <f t="array" ref="AJ246">IF($C246="","",IFERROR(TRANSPOSE(_xlfn._xlws.FILTER(Listy!$D$2:$D$60,Listy!$C$2:$C$60=$C246)),""))</f>
        <v/>
      </c>
    </row>
    <row r="247" spans="7:36" ht="25" customHeight="1" x14ac:dyDescent="0.35">
      <c r="G247" s="15" t="str">
        <f t="shared" si="44"/>
        <v/>
      </c>
      <c r="H247" s="12" t="str">
        <f t="shared" ca="1" si="45"/>
        <v/>
      </c>
      <c r="I247" s="14"/>
      <c r="J247" s="1" t="str">
        <f>IF(COUNTA(A247:F2534)=0,"",IF(#REF!="","BRAK PROTOKOŁU","DODANY"))</f>
        <v/>
      </c>
      <c r="K247" s="1"/>
      <c r="M247" s="13" t="str" cm="1">
        <f t="array" ref="M247">IF($A247="","",IFERROR(TRANSPOSE(_xlfn._xlws.FILTER(Lokale!$C$3:$C$91,Lokale!$B$3:$B$91=$A247)),""))</f>
        <v/>
      </c>
      <c r="AJ247" s="13" t="str" cm="1">
        <f t="array" ref="AJ247">IF($C247="","",IFERROR(TRANSPOSE(_xlfn._xlws.FILTER(Listy!$D$2:$D$60,Listy!$C$2:$C$60=$C247)),""))</f>
        <v/>
      </c>
    </row>
    <row r="248" spans="7:36" ht="25" customHeight="1" x14ac:dyDescent="0.35">
      <c r="G248" s="15" t="str">
        <f t="shared" si="44"/>
        <v/>
      </c>
      <c r="H248" s="12" t="str">
        <f t="shared" ca="1" si="45"/>
        <v/>
      </c>
      <c r="I248" s="14"/>
      <c r="J248" s="1" t="str">
        <f>IF(COUNTA(A248:F2535)=0,"",IF(#REF!="","BRAK PROTOKOŁU","DODANY"))</f>
        <v/>
      </c>
      <c r="K248" s="1"/>
      <c r="M248" s="13" t="str" cm="1">
        <f t="array" ref="M248">IF($A248="","",IFERROR(TRANSPOSE(_xlfn._xlws.FILTER(Lokale!$C$3:$C$91,Lokale!$B$3:$B$91=$A248)),""))</f>
        <v/>
      </c>
      <c r="AJ248" s="13" t="str" cm="1">
        <f t="array" ref="AJ248">IF($C248="","",IFERROR(TRANSPOSE(_xlfn._xlws.FILTER(Listy!$D$2:$D$60,Listy!$C$2:$C$60=$C248)),""))</f>
        <v/>
      </c>
    </row>
    <row r="249" spans="7:36" ht="25" customHeight="1" x14ac:dyDescent="0.35">
      <c r="G249" s="15" t="str">
        <f t="shared" si="44"/>
        <v/>
      </c>
      <c r="H249" s="12" t="str">
        <f t="shared" ca="1" si="45"/>
        <v/>
      </c>
      <c r="I249" s="14"/>
      <c r="J249" s="1" t="str">
        <f>IF(COUNTA(A249:F2536)=0,"",IF(#REF!="","BRAK PROTOKOŁU","DODANY"))</f>
        <v/>
      </c>
      <c r="K249" s="1"/>
      <c r="M249" s="13" t="str" cm="1">
        <f t="array" ref="M249">IF($A249="","",IFERROR(TRANSPOSE(_xlfn._xlws.FILTER(Lokale!$C$3:$C$91,Lokale!$B$3:$B$91=$A249)),""))</f>
        <v/>
      </c>
      <c r="AJ249" s="13" t="str" cm="1">
        <f t="array" ref="AJ249">IF($C249="","",IFERROR(TRANSPOSE(_xlfn._xlws.FILTER(Listy!$D$2:$D$60,Listy!$C$2:$C$60=$C249)),""))</f>
        <v/>
      </c>
    </row>
    <row r="250" spans="7:36" ht="25" customHeight="1" x14ac:dyDescent="0.35">
      <c r="G250" s="15" t="str">
        <f t="shared" si="44"/>
        <v/>
      </c>
      <c r="H250" s="12" t="str">
        <f t="shared" ca="1" si="45"/>
        <v/>
      </c>
      <c r="I250" s="14"/>
      <c r="J250" s="1" t="str">
        <f>IF(COUNTA(A250:F2537)=0,"",IF(#REF!="","BRAK PROTOKOŁU","DODANY"))</f>
        <v/>
      </c>
      <c r="K250" s="1"/>
      <c r="M250" s="13" t="str" cm="1">
        <f t="array" ref="M250">IF($A250="","",IFERROR(TRANSPOSE(_xlfn._xlws.FILTER(Lokale!$C$3:$C$91,Lokale!$B$3:$B$91=$A250)),""))</f>
        <v/>
      </c>
      <c r="AJ250" s="13" t="str" cm="1">
        <f t="array" ref="AJ250">IF($C250="","",IFERROR(TRANSPOSE(_xlfn._xlws.FILTER(Listy!$D$2:$D$60,Listy!$C$2:$C$60=$C250)),""))</f>
        <v/>
      </c>
    </row>
    <row r="251" spans="7:36" ht="25" customHeight="1" x14ac:dyDescent="0.35">
      <c r="G251" s="15" t="str">
        <f t="shared" si="44"/>
        <v/>
      </c>
      <c r="H251" s="12" t="str">
        <f t="shared" ca="1" si="45"/>
        <v/>
      </c>
      <c r="I251" s="14"/>
      <c r="J251" s="1" t="str">
        <f>IF(COUNTA(A251:F2538)=0,"",IF(#REF!="","BRAK PROTOKOŁU","DODANY"))</f>
        <v/>
      </c>
      <c r="K251" s="1"/>
      <c r="M251" s="13" t="str" cm="1">
        <f t="array" ref="M251">IF($A251="","",IFERROR(TRANSPOSE(_xlfn._xlws.FILTER(Lokale!$C$3:$C$91,Lokale!$B$3:$B$91=$A251)),""))</f>
        <v/>
      </c>
      <c r="AJ251" s="13" t="str" cm="1">
        <f t="array" ref="AJ251">IF($C251="","",IFERROR(TRANSPOSE(_xlfn._xlws.FILTER(Listy!$D$2:$D$60,Listy!$C$2:$C$60=$C251)),""))</f>
        <v/>
      </c>
    </row>
    <row r="252" spans="7:36" ht="25" customHeight="1" x14ac:dyDescent="0.35">
      <c r="G252" s="15" t="str">
        <f t="shared" si="44"/>
        <v/>
      </c>
      <c r="H252" s="12" t="str">
        <f t="shared" ca="1" si="45"/>
        <v/>
      </c>
      <c r="I252" s="14"/>
      <c r="J252" s="1" t="str">
        <f>IF(COUNTA(A252:F2539)=0,"",IF(#REF!="","BRAK PROTOKOŁU","DODANY"))</f>
        <v/>
      </c>
      <c r="K252" s="1"/>
      <c r="M252" s="13" t="str" cm="1">
        <f t="array" ref="M252">IF($A252="","",IFERROR(TRANSPOSE(_xlfn._xlws.FILTER(Lokale!$C$3:$C$91,Lokale!$B$3:$B$91=$A252)),""))</f>
        <v/>
      </c>
      <c r="AJ252" s="13" t="str" cm="1">
        <f t="array" ref="AJ252">IF($C252="","",IFERROR(TRANSPOSE(_xlfn._xlws.FILTER(Listy!$D$2:$D$60,Listy!$C$2:$C$60=$C252)),""))</f>
        <v/>
      </c>
    </row>
    <row r="253" spans="7:36" ht="25" customHeight="1" x14ac:dyDescent="0.35">
      <c r="G253" s="15" t="str">
        <f t="shared" si="44"/>
        <v/>
      </c>
      <c r="H253" s="12" t="str">
        <f t="shared" ca="1" si="45"/>
        <v/>
      </c>
      <c r="I253" s="14"/>
      <c r="J253" s="1" t="str">
        <f>IF(COUNTA(A253:F2540)=0,"",IF(#REF!="","BRAK PROTOKOŁU","DODANY"))</f>
        <v/>
      </c>
      <c r="K253" s="1"/>
      <c r="M253" s="13" t="str" cm="1">
        <f t="array" ref="M253">IF($A253="","",IFERROR(TRANSPOSE(_xlfn._xlws.FILTER(Lokale!$C$3:$C$91,Lokale!$B$3:$B$91=$A253)),""))</f>
        <v/>
      </c>
      <c r="AJ253" s="13" t="str" cm="1">
        <f t="array" ref="AJ253">IF($C253="","",IFERROR(TRANSPOSE(_xlfn._xlws.FILTER(Listy!$D$2:$D$60,Listy!$C$2:$C$60=$C253)),""))</f>
        <v/>
      </c>
    </row>
    <row r="254" spans="7:36" ht="25" customHeight="1" x14ac:dyDescent="0.35">
      <c r="G254" s="15" t="str">
        <f t="shared" si="44"/>
        <v/>
      </c>
      <c r="H254" s="12" t="str">
        <f t="shared" ca="1" si="45"/>
        <v/>
      </c>
      <c r="I254" s="14"/>
      <c r="J254" s="1" t="str">
        <f>IF(COUNTA(A254:F2541)=0,"",IF(#REF!="","BRAK PROTOKOŁU","DODANY"))</f>
        <v/>
      </c>
      <c r="K254" s="1"/>
      <c r="M254" s="13" t="str" cm="1">
        <f t="array" ref="M254">IF($A254="","",IFERROR(TRANSPOSE(_xlfn._xlws.FILTER(Lokale!$C$3:$C$91,Lokale!$B$3:$B$91=$A254)),""))</f>
        <v/>
      </c>
      <c r="AJ254" s="13" t="str" cm="1">
        <f t="array" ref="AJ254">IF($C254="","",IFERROR(TRANSPOSE(_xlfn._xlws.FILTER(Listy!$D$2:$D$60,Listy!$C$2:$C$60=$C254)),""))</f>
        <v/>
      </c>
    </row>
    <row r="255" spans="7:36" ht="25" customHeight="1" x14ac:dyDescent="0.35">
      <c r="G255" s="15" t="str">
        <f t="shared" si="44"/>
        <v/>
      </c>
      <c r="H255" s="12" t="str">
        <f t="shared" ca="1" si="45"/>
        <v/>
      </c>
      <c r="I255" s="14"/>
      <c r="J255" s="1" t="str">
        <f>IF(COUNTA(A255:F2542)=0,"",IF(#REF!="","BRAK PROTOKOŁU","DODANY"))</f>
        <v/>
      </c>
      <c r="K255" s="1"/>
      <c r="M255" s="13" t="str" cm="1">
        <f t="array" ref="M255">IF($A255="","",IFERROR(TRANSPOSE(_xlfn._xlws.FILTER(Lokale!$C$3:$C$91,Lokale!$B$3:$B$91=$A255)),""))</f>
        <v/>
      </c>
      <c r="AJ255" s="13" t="str" cm="1">
        <f t="array" ref="AJ255">IF($C255="","",IFERROR(TRANSPOSE(_xlfn._xlws.FILTER(Listy!$D$2:$D$60,Listy!$C$2:$C$60=$C255)),""))</f>
        <v/>
      </c>
    </row>
    <row r="256" spans="7:36" ht="25" customHeight="1" x14ac:dyDescent="0.35">
      <c r="G256" s="15" t="str">
        <f t="shared" si="44"/>
        <v/>
      </c>
      <c r="H256" s="12" t="str">
        <f t="shared" ca="1" si="45"/>
        <v/>
      </c>
      <c r="I256" s="14"/>
      <c r="J256" s="1" t="str">
        <f>IF(COUNTA(A256:F2543)=0,"",IF(#REF!="","BRAK PROTOKOŁU","DODANY"))</f>
        <v/>
      </c>
      <c r="K256" s="1"/>
      <c r="M256" s="13" t="str" cm="1">
        <f t="array" ref="M256">IF($A256="","",IFERROR(TRANSPOSE(_xlfn._xlws.FILTER(Lokale!$C$3:$C$91,Lokale!$B$3:$B$91=$A256)),""))</f>
        <v/>
      </c>
      <c r="AJ256" s="13" t="str" cm="1">
        <f t="array" ref="AJ256">IF($C256="","",IFERROR(TRANSPOSE(_xlfn._xlws.FILTER(Listy!$D$2:$D$60,Listy!$C$2:$C$60=$C256)),""))</f>
        <v/>
      </c>
    </row>
    <row r="257" spans="7:36" ht="25" customHeight="1" x14ac:dyDescent="0.35">
      <c r="G257" s="15" t="str">
        <f t="shared" si="44"/>
        <v/>
      </c>
      <c r="H257" s="12" t="str">
        <f t="shared" ca="1" si="45"/>
        <v/>
      </c>
      <c r="I257" s="14"/>
      <c r="J257" s="1" t="str">
        <f>IF(COUNTA(A257:F2544)=0,"",IF(#REF!="","BRAK PROTOKOŁU","DODANY"))</f>
        <v/>
      </c>
      <c r="K257" s="1"/>
      <c r="M257" s="13" t="str" cm="1">
        <f t="array" ref="M257">IF($A257="","",IFERROR(TRANSPOSE(_xlfn._xlws.FILTER(Lokale!$C$3:$C$91,Lokale!$B$3:$B$91=$A257)),""))</f>
        <v/>
      </c>
      <c r="AJ257" s="13" t="str" cm="1">
        <f t="array" ref="AJ257">IF($C257="","",IFERROR(TRANSPOSE(_xlfn._xlws.FILTER(Listy!$D$2:$D$60,Listy!$C$2:$C$60=$C257)),""))</f>
        <v/>
      </c>
    </row>
    <row r="258" spans="7:36" ht="25" customHeight="1" x14ac:dyDescent="0.35">
      <c r="G258" s="15" t="str">
        <f t="shared" si="44"/>
        <v/>
      </c>
      <c r="H258" s="12" t="str">
        <f t="shared" ca="1" si="45"/>
        <v/>
      </c>
      <c r="I258" s="14"/>
      <c r="J258" s="1" t="str">
        <f>IF(COUNTA(A258:F2545)=0,"",IF(#REF!="","BRAK PROTOKOŁU","DODANY"))</f>
        <v/>
      </c>
      <c r="K258" s="1"/>
      <c r="M258" s="13" t="str" cm="1">
        <f t="array" ref="M258">IF($A258="","",IFERROR(TRANSPOSE(_xlfn._xlws.FILTER(Lokale!$C$3:$C$91,Lokale!$B$3:$B$91=$A258)),""))</f>
        <v/>
      </c>
      <c r="AJ258" s="13" t="str" cm="1">
        <f t="array" ref="AJ258">IF($C258="","",IFERROR(TRANSPOSE(_xlfn._xlws.FILTER(Listy!$D$2:$D$60,Listy!$C$2:$C$60=$C258)),""))</f>
        <v/>
      </c>
    </row>
    <row r="259" spans="7:36" ht="25" customHeight="1" x14ac:dyDescent="0.35">
      <c r="G259" s="15" t="str">
        <f t="shared" si="44"/>
        <v/>
      </c>
      <c r="H259" s="12" t="str">
        <f t="shared" ca="1" si="45"/>
        <v/>
      </c>
      <c r="I259" s="14"/>
      <c r="J259" s="1" t="str">
        <f>IF(COUNTA(A259:F2546)=0,"",IF(#REF!="","BRAK PROTOKOŁU","DODANY"))</f>
        <v/>
      </c>
      <c r="K259" s="1"/>
      <c r="M259" s="13" t="str" cm="1">
        <f t="array" ref="M259">IF($A259="","",IFERROR(TRANSPOSE(_xlfn._xlws.FILTER(Lokale!$C$3:$C$91,Lokale!$B$3:$B$91=$A259)),""))</f>
        <v/>
      </c>
      <c r="AJ259" s="13" t="str" cm="1">
        <f t="array" ref="AJ259">IF($C259="","",IFERROR(TRANSPOSE(_xlfn._xlws.FILTER(Listy!$D$2:$D$60,Listy!$C$2:$C$60=$C259)),""))</f>
        <v/>
      </c>
    </row>
    <row r="260" spans="7:36" ht="25" customHeight="1" x14ac:dyDescent="0.35">
      <c r="G260" s="15" t="str">
        <f t="shared" si="44"/>
        <v/>
      </c>
      <c r="H260" s="12" t="str">
        <f t="shared" ca="1" si="45"/>
        <v/>
      </c>
      <c r="I260" s="14"/>
      <c r="J260" s="1" t="str">
        <f>IF(COUNTA(A260:F2547)=0,"",IF(#REF!="","BRAK PROTOKOŁU","DODANY"))</f>
        <v/>
      </c>
      <c r="K260" s="1"/>
      <c r="M260" s="13" t="str" cm="1">
        <f t="array" ref="M260">IF($A260="","",IFERROR(TRANSPOSE(_xlfn._xlws.FILTER(Lokale!$C$3:$C$91,Lokale!$B$3:$B$91=$A260)),""))</f>
        <v/>
      </c>
      <c r="AJ260" s="13" t="str" cm="1">
        <f t="array" ref="AJ260">IF($C260="","",IFERROR(TRANSPOSE(_xlfn._xlws.FILTER(Listy!$D$2:$D$60,Listy!$C$2:$C$60=$C260)),""))</f>
        <v/>
      </c>
    </row>
    <row r="261" spans="7:36" ht="25" customHeight="1" x14ac:dyDescent="0.35">
      <c r="G261" s="15" t="str">
        <f t="shared" si="44"/>
        <v/>
      </c>
      <c r="H261" s="12" t="str">
        <f t="shared" ca="1" si="45"/>
        <v/>
      </c>
      <c r="I261" s="14"/>
      <c r="J261" s="1" t="str">
        <f>IF(COUNTA(A261:F2548)=0,"",IF(#REF!="","BRAK PROTOKOŁU","DODANY"))</f>
        <v/>
      </c>
      <c r="K261" s="1"/>
      <c r="M261" s="13" t="str" cm="1">
        <f t="array" ref="M261">IF($A261="","",IFERROR(TRANSPOSE(_xlfn._xlws.FILTER(Lokale!$C$3:$C$91,Lokale!$B$3:$B$91=$A261)),""))</f>
        <v/>
      </c>
      <c r="AJ261" s="13" t="str" cm="1">
        <f t="array" ref="AJ261">IF($C261="","",IFERROR(TRANSPOSE(_xlfn._xlws.FILTER(Listy!$D$2:$D$60,Listy!$C$2:$C$60=$C261)),""))</f>
        <v/>
      </c>
    </row>
    <row r="262" spans="7:36" ht="25" customHeight="1" x14ac:dyDescent="0.35">
      <c r="G262" s="15" t="str">
        <f t="shared" si="44"/>
        <v/>
      </c>
      <c r="H262" s="12" t="str">
        <f t="shared" ca="1" si="45"/>
        <v/>
      </c>
      <c r="I262" s="14"/>
      <c r="J262" s="1" t="str">
        <f>IF(COUNTA(A262:F2549)=0,"",IF(#REF!="","BRAK PROTOKOŁU","DODANY"))</f>
        <v/>
      </c>
      <c r="K262" s="1"/>
      <c r="M262" s="13" t="str" cm="1">
        <f t="array" ref="M262">IF($A262="","",IFERROR(TRANSPOSE(_xlfn._xlws.FILTER(Lokale!$C$3:$C$91,Lokale!$B$3:$B$91=$A262)),""))</f>
        <v/>
      </c>
      <c r="AJ262" s="13" t="str" cm="1">
        <f t="array" ref="AJ262">IF($C262="","",IFERROR(TRANSPOSE(_xlfn._xlws.FILTER(Listy!$D$2:$D$60,Listy!$C$2:$C$60=$C262)),""))</f>
        <v/>
      </c>
    </row>
    <row r="263" spans="7:36" ht="25" customHeight="1" x14ac:dyDescent="0.35">
      <c r="G263" s="15" t="str">
        <f t="shared" si="44"/>
        <v/>
      </c>
      <c r="H263" s="12" t="str">
        <f t="shared" ca="1" si="45"/>
        <v/>
      </c>
      <c r="I263" s="14"/>
      <c r="J263" s="1" t="str">
        <f>IF(COUNTA(A263:F2550)=0,"",IF(#REF!="","BRAK PROTOKOŁU","DODANY"))</f>
        <v/>
      </c>
      <c r="K263" s="1"/>
      <c r="M263" s="13" t="str" cm="1">
        <f t="array" ref="M263">IF($A263="","",IFERROR(TRANSPOSE(_xlfn._xlws.FILTER(Lokale!$C$3:$C$91,Lokale!$B$3:$B$91=$A263)),""))</f>
        <v/>
      </c>
      <c r="AJ263" s="13" t="str" cm="1">
        <f t="array" ref="AJ263">IF($C263="","",IFERROR(TRANSPOSE(_xlfn._xlws.FILTER(Listy!$D$2:$D$60,Listy!$C$2:$C$60=$C263)),""))</f>
        <v/>
      </c>
    </row>
    <row r="264" spans="7:36" ht="25" customHeight="1" x14ac:dyDescent="0.35">
      <c r="G264" s="15" t="str">
        <f t="shared" si="44"/>
        <v/>
      </c>
      <c r="H264" s="12" t="str">
        <f t="shared" ca="1" si="45"/>
        <v/>
      </c>
      <c r="I264" s="14"/>
      <c r="J264" s="1" t="str">
        <f>IF(COUNTA(A264:F2551)=0,"",IF(#REF!="","BRAK PROTOKOŁU","DODANY"))</f>
        <v/>
      </c>
      <c r="K264" s="1"/>
      <c r="M264" s="13" t="str" cm="1">
        <f t="array" ref="M264">IF($A264="","",IFERROR(TRANSPOSE(_xlfn._xlws.FILTER(Lokale!$C$3:$C$91,Lokale!$B$3:$B$91=$A264)),""))</f>
        <v/>
      </c>
      <c r="AJ264" s="13" t="str" cm="1">
        <f t="array" ref="AJ264">IF($C264="","",IFERROR(TRANSPOSE(_xlfn._xlws.FILTER(Listy!$D$2:$D$60,Listy!$C$2:$C$60=$C264)),""))</f>
        <v/>
      </c>
    </row>
    <row r="265" spans="7:36" ht="25" customHeight="1" x14ac:dyDescent="0.35">
      <c r="G265" s="15" t="str">
        <f t="shared" si="44"/>
        <v/>
      </c>
      <c r="H265" s="12" t="str">
        <f t="shared" ca="1" si="45"/>
        <v/>
      </c>
      <c r="I265" s="14"/>
      <c r="J265" s="1" t="str">
        <f>IF(COUNTA(A265:F2552)=0,"",IF(#REF!="","BRAK PROTOKOŁU","DODANY"))</f>
        <v/>
      </c>
      <c r="K265" s="1"/>
      <c r="M265" s="13" t="str" cm="1">
        <f t="array" ref="M265">IF($A265="","",IFERROR(TRANSPOSE(_xlfn._xlws.FILTER(Lokale!$C$3:$C$91,Lokale!$B$3:$B$91=$A265)),""))</f>
        <v/>
      </c>
      <c r="AJ265" s="13" t="str" cm="1">
        <f t="array" ref="AJ265">IF($C265="","",IFERROR(TRANSPOSE(_xlfn._xlws.FILTER(Listy!$D$2:$D$60,Listy!$C$2:$C$60=$C265)),""))</f>
        <v/>
      </c>
    </row>
    <row r="266" spans="7:36" ht="25" customHeight="1" x14ac:dyDescent="0.35">
      <c r="G266" s="15" t="str">
        <f t="shared" si="44"/>
        <v/>
      </c>
      <c r="H266" s="12" t="str">
        <f t="shared" ca="1" si="45"/>
        <v/>
      </c>
      <c r="I266" s="14"/>
      <c r="J266" s="1" t="str">
        <f>IF(COUNTA(A266:F2553)=0,"",IF(#REF!="","BRAK PROTOKOŁU","DODANY"))</f>
        <v/>
      </c>
      <c r="K266" s="1"/>
      <c r="M266" s="13" t="str" cm="1">
        <f t="array" ref="M266">IF($A266="","",IFERROR(TRANSPOSE(_xlfn._xlws.FILTER(Lokale!$C$3:$C$91,Lokale!$B$3:$B$91=$A266)),""))</f>
        <v/>
      </c>
      <c r="AJ266" s="13" t="str" cm="1">
        <f t="array" ref="AJ266">IF($C266="","",IFERROR(TRANSPOSE(_xlfn._xlws.FILTER(Listy!$D$2:$D$60,Listy!$C$2:$C$60=$C266)),""))</f>
        <v/>
      </c>
    </row>
    <row r="267" spans="7:36" ht="25" customHeight="1" x14ac:dyDescent="0.35">
      <c r="G267" s="15" t="str">
        <f t="shared" si="44"/>
        <v/>
      </c>
      <c r="H267" s="12" t="str">
        <f t="shared" ca="1" si="45"/>
        <v/>
      </c>
      <c r="I267" s="14"/>
      <c r="J267" s="1" t="str">
        <f>IF(COUNTA(A267:F2554)=0,"",IF(#REF!="","BRAK PROTOKOŁU","DODANY"))</f>
        <v/>
      </c>
      <c r="K267" s="1"/>
      <c r="M267" s="13" t="str" cm="1">
        <f t="array" ref="M267">IF($A267="","",IFERROR(TRANSPOSE(_xlfn._xlws.FILTER(Lokale!$C$3:$C$91,Lokale!$B$3:$B$91=$A267)),""))</f>
        <v/>
      </c>
      <c r="AJ267" s="13" t="str" cm="1">
        <f t="array" ref="AJ267">IF($C267="","",IFERROR(TRANSPOSE(_xlfn._xlws.FILTER(Listy!$D$2:$D$60,Listy!$C$2:$C$60=$C267)),""))</f>
        <v/>
      </c>
    </row>
    <row r="268" spans="7:36" ht="25" customHeight="1" x14ac:dyDescent="0.35">
      <c r="G268" s="15" t="str">
        <f t="shared" si="44"/>
        <v/>
      </c>
      <c r="H268" s="12" t="str">
        <f t="shared" ca="1" si="45"/>
        <v/>
      </c>
      <c r="I268" s="14"/>
      <c r="J268" s="1" t="str">
        <f>IF(COUNTA(A268:F2555)=0,"",IF(#REF!="","BRAK PROTOKOŁU","DODANY"))</f>
        <v/>
      </c>
      <c r="K268" s="1"/>
      <c r="M268" s="13" t="str" cm="1">
        <f t="array" ref="M268">IF($A268="","",IFERROR(TRANSPOSE(_xlfn._xlws.FILTER(Lokale!$C$3:$C$91,Lokale!$B$3:$B$91=$A268)),""))</f>
        <v/>
      </c>
      <c r="AJ268" s="13" t="str" cm="1">
        <f t="array" ref="AJ268">IF($C268="","",IFERROR(TRANSPOSE(_xlfn._xlws.FILTER(Listy!$D$2:$D$60,Listy!$C$2:$C$60=$C268)),""))</f>
        <v/>
      </c>
    </row>
    <row r="269" spans="7:36" ht="25" customHeight="1" x14ac:dyDescent="0.35">
      <c r="G269" s="15" t="str">
        <f t="shared" si="44"/>
        <v/>
      </c>
      <c r="H269" s="12" t="str">
        <f t="shared" ca="1" si="45"/>
        <v/>
      </c>
      <c r="I269" s="14"/>
      <c r="J269" s="1" t="str">
        <f>IF(COUNTA(A269:F2556)=0,"",IF(#REF!="","BRAK PROTOKOŁU","DODANY"))</f>
        <v/>
      </c>
      <c r="K269" s="1"/>
      <c r="M269" s="13" t="str" cm="1">
        <f t="array" ref="M269">IF($A269="","",IFERROR(TRANSPOSE(_xlfn._xlws.FILTER(Lokale!$C$3:$C$91,Lokale!$B$3:$B$91=$A269)),""))</f>
        <v/>
      </c>
      <c r="AJ269" s="13" t="str" cm="1">
        <f t="array" ref="AJ269">IF($C269="","",IFERROR(TRANSPOSE(_xlfn._xlws.FILTER(Listy!$D$2:$D$60,Listy!$C$2:$C$60=$C269)),""))</f>
        <v/>
      </c>
    </row>
    <row r="270" spans="7:36" ht="25" customHeight="1" x14ac:dyDescent="0.35">
      <c r="G270" s="15" t="str">
        <f t="shared" si="44"/>
        <v/>
      </c>
      <c r="H270" s="12" t="str">
        <f t="shared" ca="1" si="45"/>
        <v/>
      </c>
      <c r="I270" s="14"/>
      <c r="J270" s="1" t="str">
        <f>IF(COUNTA(A270:F2557)=0,"",IF(#REF!="","BRAK PROTOKOŁU","DODANY"))</f>
        <v/>
      </c>
      <c r="K270" s="1"/>
      <c r="M270" s="13" t="str" cm="1">
        <f t="array" ref="M270">IF($A270="","",IFERROR(TRANSPOSE(_xlfn._xlws.FILTER(Lokale!$C$3:$C$91,Lokale!$B$3:$B$91=$A270)),""))</f>
        <v/>
      </c>
      <c r="AJ270" s="13" t="str" cm="1">
        <f t="array" ref="AJ270">IF($C270="","",IFERROR(TRANSPOSE(_xlfn._xlws.FILTER(Listy!$D$2:$D$60,Listy!$C$2:$C$60=$C270)),""))</f>
        <v/>
      </c>
    </row>
    <row r="271" spans="7:36" ht="25" customHeight="1" x14ac:dyDescent="0.35">
      <c r="G271" s="15" t="str">
        <f t="shared" si="44"/>
        <v/>
      </c>
      <c r="H271" s="12" t="str">
        <f t="shared" ca="1" si="45"/>
        <v/>
      </c>
      <c r="I271" s="14"/>
      <c r="J271" s="1" t="str">
        <f>IF(COUNTA(A271:F2558)=0,"",IF(#REF!="","BRAK PROTOKOŁU","DODANY"))</f>
        <v/>
      </c>
      <c r="K271" s="1"/>
      <c r="M271" s="13" t="str" cm="1">
        <f t="array" ref="M271">IF($A271="","",IFERROR(TRANSPOSE(_xlfn._xlws.FILTER(Lokale!$C$3:$C$91,Lokale!$B$3:$B$91=$A271)),""))</f>
        <v/>
      </c>
      <c r="AJ271" s="13" t="str" cm="1">
        <f t="array" ref="AJ271">IF($C271="","",IFERROR(TRANSPOSE(_xlfn._xlws.FILTER(Listy!$D$2:$D$60,Listy!$C$2:$C$60=$C271)),""))</f>
        <v/>
      </c>
    </row>
    <row r="272" spans="7:36" ht="25" customHeight="1" x14ac:dyDescent="0.35">
      <c r="G272" s="15" t="str">
        <f t="shared" si="44"/>
        <v/>
      </c>
      <c r="H272" s="12" t="str">
        <f t="shared" ca="1" si="45"/>
        <v/>
      </c>
      <c r="I272" s="14"/>
      <c r="J272" s="1" t="str">
        <f>IF(COUNTA(A272:F2559)=0,"",IF(#REF!="","BRAK PROTOKOŁU","DODANY"))</f>
        <v/>
      </c>
      <c r="K272" s="1"/>
      <c r="M272" s="13" t="str" cm="1">
        <f t="array" ref="M272">IF($A272="","",IFERROR(TRANSPOSE(_xlfn._xlws.FILTER(Lokale!$C$3:$C$91,Lokale!$B$3:$B$91=$A272)),""))</f>
        <v/>
      </c>
      <c r="AJ272" s="13" t="str" cm="1">
        <f t="array" ref="AJ272">IF($C272="","",IFERROR(TRANSPOSE(_xlfn._xlws.FILTER(Listy!$D$2:$D$60,Listy!$C$2:$C$60=$C272)),""))</f>
        <v/>
      </c>
    </row>
    <row r="273" spans="7:36" ht="25" customHeight="1" x14ac:dyDescent="0.35">
      <c r="G273" s="15" t="str">
        <f t="shared" si="44"/>
        <v/>
      </c>
      <c r="H273" s="12" t="str">
        <f t="shared" ca="1" si="45"/>
        <v/>
      </c>
      <c r="I273" s="14"/>
      <c r="J273" s="1" t="str">
        <f>IF(COUNTA(A273:F2560)=0,"",IF(#REF!="","BRAK PROTOKOŁU","DODANY"))</f>
        <v/>
      </c>
      <c r="K273" s="1"/>
      <c r="M273" s="13" t="str" cm="1">
        <f t="array" ref="M273">IF($A273="","",IFERROR(TRANSPOSE(_xlfn._xlws.FILTER(Lokale!$C$3:$C$91,Lokale!$B$3:$B$91=$A273)),""))</f>
        <v/>
      </c>
      <c r="AJ273" s="13" t="str" cm="1">
        <f t="array" ref="AJ273">IF($C273="","",IFERROR(TRANSPOSE(_xlfn._xlws.FILTER(Listy!$D$2:$D$60,Listy!$C$2:$C$60=$C273)),""))</f>
        <v/>
      </c>
    </row>
    <row r="274" spans="7:36" ht="25" customHeight="1" x14ac:dyDescent="0.35">
      <c r="G274" s="15" t="str">
        <f t="shared" si="44"/>
        <v/>
      </c>
      <c r="H274" s="12" t="str">
        <f t="shared" ca="1" si="45"/>
        <v/>
      </c>
      <c r="I274" s="14"/>
      <c r="J274" s="1" t="str">
        <f>IF(COUNTA(A274:F2561)=0,"",IF(#REF!="","BRAK PROTOKOŁU","DODANY"))</f>
        <v/>
      </c>
      <c r="K274" s="1"/>
      <c r="M274" s="13" t="str" cm="1">
        <f t="array" ref="M274">IF($A274="","",IFERROR(TRANSPOSE(_xlfn._xlws.FILTER(Lokale!$C$3:$C$91,Lokale!$B$3:$B$91=$A274)),""))</f>
        <v/>
      </c>
      <c r="AJ274" s="13" t="str" cm="1">
        <f t="array" ref="AJ274">IF($C274="","",IFERROR(TRANSPOSE(_xlfn._xlws.FILTER(Listy!$D$2:$D$60,Listy!$C$2:$C$60=$C274)),""))</f>
        <v/>
      </c>
    </row>
    <row r="275" spans="7:36" ht="25" customHeight="1" x14ac:dyDescent="0.35">
      <c r="G275" s="15" t="str">
        <f t="shared" si="44"/>
        <v/>
      </c>
      <c r="H275" s="12" t="str">
        <f t="shared" ca="1" si="45"/>
        <v/>
      </c>
      <c r="I275" s="14"/>
      <c r="J275" s="1" t="str">
        <f>IF(COUNTA(A275:F2562)=0,"",IF(#REF!="","BRAK PROTOKOŁU","DODANY"))</f>
        <v/>
      </c>
      <c r="K275" s="1"/>
      <c r="M275" s="13" t="str" cm="1">
        <f t="array" ref="M275">IF($A275="","",IFERROR(TRANSPOSE(_xlfn._xlws.FILTER(Lokale!$C$3:$C$91,Lokale!$B$3:$B$91=$A275)),""))</f>
        <v/>
      </c>
      <c r="AJ275" s="13" t="str" cm="1">
        <f t="array" ref="AJ275">IF($C275="","",IFERROR(TRANSPOSE(_xlfn._xlws.FILTER(Listy!$D$2:$D$60,Listy!$C$2:$C$60=$C275)),""))</f>
        <v/>
      </c>
    </row>
    <row r="276" spans="7:36" ht="25" customHeight="1" x14ac:dyDescent="0.35">
      <c r="G276" s="15" t="str">
        <f t="shared" si="44"/>
        <v/>
      </c>
      <c r="H276" s="12" t="str">
        <f t="shared" ca="1" si="45"/>
        <v/>
      </c>
      <c r="I276" s="14"/>
      <c r="J276" s="1" t="str">
        <f>IF(COUNTA(A276:F2563)=0,"",IF(#REF!="","BRAK PROTOKOŁU","DODANY"))</f>
        <v/>
      </c>
      <c r="K276" s="1"/>
      <c r="M276" s="13" t="str" cm="1">
        <f t="array" ref="M276">IF($A276="","",IFERROR(TRANSPOSE(_xlfn._xlws.FILTER(Lokale!$C$3:$C$91,Lokale!$B$3:$B$91=$A276)),""))</f>
        <v/>
      </c>
      <c r="AJ276" s="13" t="str" cm="1">
        <f t="array" ref="AJ276">IF($C276="","",IFERROR(TRANSPOSE(_xlfn._xlws.FILTER(Listy!$D$2:$D$60,Listy!$C$2:$C$60=$C276)),""))</f>
        <v/>
      </c>
    </row>
    <row r="277" spans="7:36" ht="25" customHeight="1" x14ac:dyDescent="0.35">
      <c r="G277" s="15" t="str">
        <f t="shared" si="44"/>
        <v/>
      </c>
      <c r="H277" s="12" t="str">
        <f t="shared" ca="1" si="45"/>
        <v/>
      </c>
      <c r="I277" s="14"/>
      <c r="J277" s="1" t="str">
        <f>IF(COUNTA(A277:F2564)=0,"",IF(#REF!="","BRAK PROTOKOŁU","DODANY"))</f>
        <v/>
      </c>
      <c r="K277" s="1"/>
      <c r="M277" s="13" t="str" cm="1">
        <f t="array" ref="M277">IF($A277="","",IFERROR(TRANSPOSE(_xlfn._xlws.FILTER(Lokale!$C$3:$C$91,Lokale!$B$3:$B$91=$A277)),""))</f>
        <v/>
      </c>
      <c r="AJ277" s="13" t="str" cm="1">
        <f t="array" ref="AJ277">IF($C277="","",IFERROR(TRANSPOSE(_xlfn._xlws.FILTER(Listy!$D$2:$D$60,Listy!$C$2:$C$60=$C277)),""))</f>
        <v/>
      </c>
    </row>
    <row r="278" spans="7:36" ht="25" customHeight="1" x14ac:dyDescent="0.35">
      <c r="G278" s="15" t="str">
        <f t="shared" si="44"/>
        <v/>
      </c>
      <c r="H278" s="12" t="str">
        <f t="shared" ca="1" si="45"/>
        <v/>
      </c>
      <c r="I278" s="14"/>
      <c r="J278" s="1" t="str">
        <f>IF(COUNTA(A278:F2565)=0,"",IF(#REF!="","BRAK PROTOKOŁU","DODANY"))</f>
        <v/>
      </c>
      <c r="K278" s="1"/>
      <c r="M278" s="13" t="str" cm="1">
        <f t="array" ref="M278">IF($A278="","",IFERROR(TRANSPOSE(_xlfn._xlws.FILTER(Lokale!$C$3:$C$91,Lokale!$B$3:$B$91=$A278)),""))</f>
        <v/>
      </c>
      <c r="AJ278" s="13" t="str" cm="1">
        <f t="array" ref="AJ278">IF($C278="","",IFERROR(TRANSPOSE(_xlfn._xlws.FILTER(Listy!$D$2:$D$60,Listy!$C$2:$C$60=$C278)),""))</f>
        <v/>
      </c>
    </row>
    <row r="279" spans="7:36" ht="25" customHeight="1" x14ac:dyDescent="0.35">
      <c r="G279" s="15" t="str">
        <f t="shared" si="44"/>
        <v/>
      </c>
      <c r="H279" s="12" t="str">
        <f t="shared" ca="1" si="45"/>
        <v/>
      </c>
      <c r="I279" s="14"/>
      <c r="J279" s="1" t="str">
        <f>IF(COUNTA(A279:F2566)=0,"",IF(#REF!="","BRAK PROTOKOŁU","DODANY"))</f>
        <v/>
      </c>
      <c r="K279" s="1"/>
      <c r="M279" s="13" t="str" cm="1">
        <f t="array" ref="M279">IF($A279="","",IFERROR(TRANSPOSE(_xlfn._xlws.FILTER(Lokale!$C$3:$C$91,Lokale!$B$3:$B$91=$A279)),""))</f>
        <v/>
      </c>
      <c r="AJ279" s="13" t="str" cm="1">
        <f t="array" ref="AJ279">IF($C279="","",IFERROR(TRANSPOSE(_xlfn._xlws.FILTER(Listy!$D$2:$D$60,Listy!$C$2:$C$60=$C279)),""))</f>
        <v/>
      </c>
    </row>
    <row r="280" spans="7:36" ht="25" customHeight="1" x14ac:dyDescent="0.35">
      <c r="G280" s="15" t="str">
        <f t="shared" si="44"/>
        <v/>
      </c>
      <c r="H280" s="12" t="str">
        <f t="shared" ca="1" si="45"/>
        <v/>
      </c>
      <c r="I280" s="14"/>
      <c r="J280" s="1" t="str">
        <f>IF(COUNTA(A280:F2567)=0,"",IF(#REF!="","BRAK PROTOKOŁU","DODANY"))</f>
        <v/>
      </c>
      <c r="K280" s="1"/>
      <c r="M280" s="13" t="str" cm="1">
        <f t="array" ref="M280">IF($A280="","",IFERROR(TRANSPOSE(_xlfn._xlws.FILTER(Lokale!$C$3:$C$91,Lokale!$B$3:$B$91=$A280)),""))</f>
        <v/>
      </c>
      <c r="AJ280" s="13" t="str" cm="1">
        <f t="array" ref="AJ280">IF($C280="","",IFERROR(TRANSPOSE(_xlfn._xlws.FILTER(Listy!$D$2:$D$60,Listy!$C$2:$C$60=$C280)),""))</f>
        <v/>
      </c>
    </row>
    <row r="281" spans="7:36" ht="25" customHeight="1" x14ac:dyDescent="0.35">
      <c r="G281" s="15" t="str">
        <f t="shared" si="44"/>
        <v/>
      </c>
      <c r="H281" s="12" t="str">
        <f t="shared" ca="1" si="45"/>
        <v/>
      </c>
      <c r="I281" s="14"/>
      <c r="J281" s="1" t="str">
        <f>IF(COUNTA(A281:F2568)=0,"",IF(#REF!="","BRAK PROTOKOŁU","DODANY"))</f>
        <v/>
      </c>
      <c r="K281" s="1"/>
      <c r="M281" s="13" t="str" cm="1">
        <f t="array" ref="M281">IF($A281="","",IFERROR(TRANSPOSE(_xlfn._xlws.FILTER(Lokale!$C$3:$C$91,Lokale!$B$3:$B$91=$A281)),""))</f>
        <v/>
      </c>
      <c r="AJ281" s="13" t="str" cm="1">
        <f t="array" ref="AJ281">IF($C281="","",IFERROR(TRANSPOSE(_xlfn._xlws.FILTER(Listy!$D$2:$D$60,Listy!$C$2:$C$60=$C281)),""))</f>
        <v/>
      </c>
    </row>
    <row r="282" spans="7:36" ht="25" customHeight="1" x14ac:dyDescent="0.35">
      <c r="G282" s="15" t="str">
        <f t="shared" si="44"/>
        <v/>
      </c>
      <c r="H282" s="12" t="str">
        <f t="shared" ca="1" si="45"/>
        <v/>
      </c>
      <c r="I282" s="14"/>
      <c r="J282" s="1" t="str">
        <f>IF(COUNTA(A282:F2569)=0,"",IF(#REF!="","BRAK PROTOKOŁU","DODANY"))</f>
        <v/>
      </c>
      <c r="K282" s="1"/>
      <c r="M282" s="13" t="str" cm="1">
        <f t="array" ref="M282">IF($A282="","",IFERROR(TRANSPOSE(_xlfn._xlws.FILTER(Lokale!$C$3:$C$91,Lokale!$B$3:$B$91=$A282)),""))</f>
        <v/>
      </c>
      <c r="AJ282" s="13" t="str" cm="1">
        <f t="array" ref="AJ282">IF($C282="","",IFERROR(TRANSPOSE(_xlfn._xlws.FILTER(Listy!$D$2:$D$60,Listy!$C$2:$C$60=$C282)),""))</f>
        <v/>
      </c>
    </row>
    <row r="283" spans="7:36" ht="25" customHeight="1" x14ac:dyDescent="0.35">
      <c r="G283" s="15" t="str">
        <f t="shared" si="44"/>
        <v/>
      </c>
      <c r="H283" s="12" t="str">
        <f t="shared" ca="1" si="45"/>
        <v/>
      </c>
      <c r="I283" s="14"/>
      <c r="J283" s="1" t="str">
        <f>IF(COUNTA(A283:F2570)=0,"",IF(#REF!="","BRAK PROTOKOŁU","DODANY"))</f>
        <v/>
      </c>
      <c r="K283" s="1"/>
      <c r="M283" s="13" t="str" cm="1">
        <f t="array" ref="M283">IF($A283="","",IFERROR(TRANSPOSE(_xlfn._xlws.FILTER(Lokale!$C$3:$C$91,Lokale!$B$3:$B$91=$A283)),""))</f>
        <v/>
      </c>
      <c r="AJ283" s="13" t="str" cm="1">
        <f t="array" ref="AJ283">IF($C283="","",IFERROR(TRANSPOSE(_xlfn._xlws.FILTER(Listy!$D$2:$D$60,Listy!$C$2:$C$60=$C283)),""))</f>
        <v/>
      </c>
    </row>
    <row r="284" spans="7:36" ht="25" customHeight="1" x14ac:dyDescent="0.35">
      <c r="G284" s="15" t="str">
        <f t="shared" si="44"/>
        <v/>
      </c>
      <c r="H284" s="12" t="str">
        <f t="shared" ca="1" si="45"/>
        <v/>
      </c>
      <c r="I284" s="14"/>
      <c r="J284" s="1" t="str">
        <f>IF(COUNTA(A284:F2571)=0,"",IF(#REF!="","BRAK PROTOKOŁU","DODANY"))</f>
        <v/>
      </c>
      <c r="K284" s="1"/>
      <c r="M284" s="13" t="str" cm="1">
        <f t="array" ref="M284">IF($A284="","",IFERROR(TRANSPOSE(_xlfn._xlws.FILTER(Lokale!$C$3:$C$91,Lokale!$B$3:$B$91=$A284)),""))</f>
        <v/>
      </c>
      <c r="AJ284" s="13" t="str" cm="1">
        <f t="array" ref="AJ284">IF($C284="","",IFERROR(TRANSPOSE(_xlfn._xlws.FILTER(Listy!$D$2:$D$60,Listy!$C$2:$C$60=$C284)),""))</f>
        <v/>
      </c>
    </row>
    <row r="285" spans="7:36" ht="25" customHeight="1" x14ac:dyDescent="0.35">
      <c r="G285" s="15" t="str">
        <f t="shared" si="44"/>
        <v/>
      </c>
      <c r="H285" s="12" t="str">
        <f t="shared" ca="1" si="45"/>
        <v/>
      </c>
      <c r="I285" s="14"/>
      <c r="J285" s="1" t="str">
        <f>IF(COUNTA(A285:F2572)=0,"",IF(#REF!="","BRAK PROTOKOŁU","DODANY"))</f>
        <v/>
      </c>
      <c r="K285" s="1"/>
      <c r="M285" s="13" t="str" cm="1">
        <f t="array" ref="M285">IF($A285="","",IFERROR(TRANSPOSE(_xlfn._xlws.FILTER(Lokale!$C$3:$C$91,Lokale!$B$3:$B$91=$A285)),""))</f>
        <v/>
      </c>
      <c r="AJ285" s="13" t="str" cm="1">
        <f t="array" ref="AJ285">IF($C285="","",IFERROR(TRANSPOSE(_xlfn._xlws.FILTER(Listy!$D$2:$D$60,Listy!$C$2:$C$60=$C285)),""))</f>
        <v/>
      </c>
    </row>
    <row r="286" spans="7:36" ht="25" customHeight="1" x14ac:dyDescent="0.35">
      <c r="G286" s="15" t="str">
        <f t="shared" si="44"/>
        <v/>
      </c>
      <c r="H286" s="12" t="str">
        <f t="shared" ca="1" si="45"/>
        <v/>
      </c>
      <c r="I286" s="14"/>
      <c r="J286" s="1" t="str">
        <f>IF(COUNTA(A286:F2573)=0,"",IF(#REF!="","BRAK PROTOKOŁU","DODANY"))</f>
        <v/>
      </c>
      <c r="K286" s="1"/>
      <c r="M286" s="13" t="str" cm="1">
        <f t="array" ref="M286">IF($A286="","",IFERROR(TRANSPOSE(_xlfn._xlws.FILTER(Lokale!$C$3:$C$91,Lokale!$B$3:$B$91=$A286)),""))</f>
        <v/>
      </c>
      <c r="AJ286" s="13" t="str" cm="1">
        <f t="array" ref="AJ286">IF($C286="","",IFERROR(TRANSPOSE(_xlfn._xlws.FILTER(Listy!$D$2:$D$60,Listy!$C$2:$C$60=$C286)),""))</f>
        <v/>
      </c>
    </row>
    <row r="287" spans="7:36" ht="25" customHeight="1" x14ac:dyDescent="0.35">
      <c r="G287" s="15" t="str">
        <f t="shared" si="44"/>
        <v/>
      </c>
      <c r="H287" s="12" t="str">
        <f t="shared" ca="1" si="45"/>
        <v/>
      </c>
      <c r="I287" s="14"/>
      <c r="J287" s="1" t="str">
        <f>IF(COUNTA(A287:F2574)=0,"",IF(#REF!="","BRAK PROTOKOŁU","DODANY"))</f>
        <v/>
      </c>
      <c r="K287" s="1"/>
      <c r="M287" s="13" t="str" cm="1">
        <f t="array" ref="M287">IF($A287="","",IFERROR(TRANSPOSE(_xlfn._xlws.FILTER(Lokale!$C$3:$C$91,Lokale!$B$3:$B$91=$A287)),""))</f>
        <v/>
      </c>
      <c r="AJ287" s="13" t="str" cm="1">
        <f t="array" ref="AJ287">IF($C287="","",IFERROR(TRANSPOSE(_xlfn._xlws.FILTER(Listy!$D$2:$D$60,Listy!$C$2:$C$60=$C287)),""))</f>
        <v/>
      </c>
    </row>
    <row r="288" spans="7:36" ht="25" customHeight="1" x14ac:dyDescent="0.35">
      <c r="G288" s="15" t="str">
        <f t="shared" si="44"/>
        <v/>
      </c>
      <c r="H288" s="12" t="str">
        <f t="shared" ca="1" si="45"/>
        <v/>
      </c>
      <c r="I288" s="14"/>
      <c r="J288" s="1" t="str">
        <f>IF(COUNTA(A288:F2575)=0,"",IF(#REF!="","BRAK PROTOKOŁU","DODANY"))</f>
        <v/>
      </c>
      <c r="K288" s="1"/>
      <c r="M288" s="13" t="str" cm="1">
        <f t="array" ref="M288">IF($A288="","",IFERROR(TRANSPOSE(_xlfn._xlws.FILTER(Lokale!$C$3:$C$91,Lokale!$B$3:$B$91=$A288)),""))</f>
        <v/>
      </c>
      <c r="AJ288" s="13" t="str" cm="1">
        <f t="array" ref="AJ288">IF($C288="","",IFERROR(TRANSPOSE(_xlfn._xlws.FILTER(Listy!$D$2:$D$60,Listy!$C$2:$C$60=$C288)),""))</f>
        <v/>
      </c>
    </row>
    <row r="289" spans="7:36" ht="25" customHeight="1" x14ac:dyDescent="0.35">
      <c r="G289" s="15" t="str">
        <f t="shared" si="44"/>
        <v/>
      </c>
      <c r="H289" s="12" t="str">
        <f t="shared" ca="1" si="45"/>
        <v/>
      </c>
      <c r="I289" s="14"/>
      <c r="J289" s="1" t="str">
        <f>IF(COUNTA(A289:F2576)=0,"",IF(#REF!="","BRAK PROTOKOŁU","DODANY"))</f>
        <v/>
      </c>
      <c r="K289" s="1"/>
      <c r="M289" s="13" t="str" cm="1">
        <f t="array" ref="M289">IF($A289="","",IFERROR(TRANSPOSE(_xlfn._xlws.FILTER(Lokale!$C$3:$C$91,Lokale!$B$3:$B$91=$A289)),""))</f>
        <v/>
      </c>
      <c r="AJ289" s="13" t="str" cm="1">
        <f t="array" ref="AJ289">IF($C289="","",IFERROR(TRANSPOSE(_xlfn._xlws.FILTER(Listy!$D$2:$D$60,Listy!$C$2:$C$60=$C289)),""))</f>
        <v/>
      </c>
    </row>
    <row r="290" spans="7:36" ht="25" customHeight="1" x14ac:dyDescent="0.35">
      <c r="G290" s="15" t="str">
        <f t="shared" ref="G290:G353" si="46">IF(OR(E290="",F290=""),"",DATE(YEAR(E290),MONTH(E290)+F290,DAY(E290)))</f>
        <v/>
      </c>
      <c r="H290" s="12" t="str">
        <f t="shared" ref="H290:H353" ca="1" si="47">IF(G290="","",IF(G290&lt;TODAY(),"PO TERMINIE",IF(G290&lt;=TODAY()+14,"DO WYKONANIA","OK")))</f>
        <v/>
      </c>
      <c r="I290" s="14"/>
      <c r="J290" s="1" t="str">
        <f>IF(COUNTA(A290:F2577)=0,"",IF(#REF!="","BRAK PROTOKOŁU","DODANY"))</f>
        <v/>
      </c>
      <c r="K290" s="1"/>
      <c r="M290" s="13" t="str" cm="1">
        <f t="array" ref="M290">IF($A290="","",IFERROR(TRANSPOSE(_xlfn._xlws.FILTER(Lokale!$C$3:$C$91,Lokale!$B$3:$B$91=$A290)),""))</f>
        <v/>
      </c>
      <c r="AJ290" s="13" t="str" cm="1">
        <f t="array" ref="AJ290">IF($C290="","",IFERROR(TRANSPOSE(_xlfn._xlws.FILTER(Listy!$D$2:$D$60,Listy!$C$2:$C$60=$C290)),""))</f>
        <v/>
      </c>
    </row>
    <row r="291" spans="7:36" ht="25" customHeight="1" x14ac:dyDescent="0.35">
      <c r="G291" s="15" t="str">
        <f t="shared" si="46"/>
        <v/>
      </c>
      <c r="H291" s="12" t="str">
        <f t="shared" ca="1" si="47"/>
        <v/>
      </c>
      <c r="I291" s="14"/>
      <c r="J291" s="1" t="str">
        <f>IF(COUNTA(A291:F2578)=0,"",IF(#REF!="","BRAK PROTOKOŁU","DODANY"))</f>
        <v/>
      </c>
      <c r="K291" s="1"/>
      <c r="M291" s="13" t="str" cm="1">
        <f t="array" ref="M291">IF($A291="","",IFERROR(TRANSPOSE(_xlfn._xlws.FILTER(Lokale!$C$3:$C$91,Lokale!$B$3:$B$91=$A291)),""))</f>
        <v/>
      </c>
      <c r="AJ291" s="13" t="str" cm="1">
        <f t="array" ref="AJ291">IF($C291="","",IFERROR(TRANSPOSE(_xlfn._xlws.FILTER(Listy!$D$2:$D$60,Listy!$C$2:$C$60=$C291)),""))</f>
        <v/>
      </c>
    </row>
    <row r="292" spans="7:36" ht="25" customHeight="1" x14ac:dyDescent="0.35">
      <c r="G292" s="15" t="str">
        <f t="shared" si="46"/>
        <v/>
      </c>
      <c r="H292" s="12" t="str">
        <f t="shared" ca="1" si="47"/>
        <v/>
      </c>
      <c r="I292" s="14"/>
      <c r="J292" s="1" t="str">
        <f>IF(COUNTA(A292:F2579)=0,"",IF(#REF!="","BRAK PROTOKOŁU","DODANY"))</f>
        <v/>
      </c>
      <c r="K292" s="1"/>
      <c r="M292" s="13" t="str" cm="1">
        <f t="array" ref="M292">IF($A292="","",IFERROR(TRANSPOSE(_xlfn._xlws.FILTER(Lokale!$C$3:$C$91,Lokale!$B$3:$B$91=$A292)),""))</f>
        <v/>
      </c>
      <c r="AJ292" s="13" t="str" cm="1">
        <f t="array" ref="AJ292">IF($C292="","",IFERROR(TRANSPOSE(_xlfn._xlws.FILTER(Listy!$D$2:$D$60,Listy!$C$2:$C$60=$C292)),""))</f>
        <v/>
      </c>
    </row>
    <row r="293" spans="7:36" ht="25" customHeight="1" x14ac:dyDescent="0.35">
      <c r="G293" s="15" t="str">
        <f t="shared" si="46"/>
        <v/>
      </c>
      <c r="H293" s="12" t="str">
        <f t="shared" ca="1" si="47"/>
        <v/>
      </c>
      <c r="I293" s="14"/>
      <c r="J293" s="1" t="str">
        <f>IF(COUNTA(A293:F2580)=0,"",IF(#REF!="","BRAK PROTOKOŁU","DODANY"))</f>
        <v/>
      </c>
      <c r="K293" s="1"/>
      <c r="M293" s="13" t="str" cm="1">
        <f t="array" ref="M293">IF($A293="","",IFERROR(TRANSPOSE(_xlfn._xlws.FILTER(Lokale!$C$3:$C$91,Lokale!$B$3:$B$91=$A293)),""))</f>
        <v/>
      </c>
      <c r="AJ293" s="13" t="str" cm="1">
        <f t="array" ref="AJ293">IF($C293="","",IFERROR(TRANSPOSE(_xlfn._xlws.FILTER(Listy!$D$2:$D$60,Listy!$C$2:$C$60=$C293)),""))</f>
        <v/>
      </c>
    </row>
    <row r="294" spans="7:36" ht="25" customHeight="1" x14ac:dyDescent="0.35">
      <c r="G294" s="15" t="str">
        <f t="shared" si="46"/>
        <v/>
      </c>
      <c r="H294" s="12" t="str">
        <f t="shared" ca="1" si="47"/>
        <v/>
      </c>
      <c r="I294" s="14"/>
      <c r="J294" s="1" t="str">
        <f>IF(COUNTA(A294:F2581)=0,"",IF(#REF!="","BRAK PROTOKOŁU","DODANY"))</f>
        <v/>
      </c>
      <c r="K294" s="1"/>
      <c r="M294" s="13" t="str" cm="1">
        <f t="array" ref="M294">IF($A294="","",IFERROR(TRANSPOSE(_xlfn._xlws.FILTER(Lokale!$C$3:$C$91,Lokale!$B$3:$B$91=$A294)),""))</f>
        <v/>
      </c>
      <c r="AJ294" s="13" t="str" cm="1">
        <f t="array" ref="AJ294">IF($C294="","",IFERROR(TRANSPOSE(_xlfn._xlws.FILTER(Listy!$D$2:$D$60,Listy!$C$2:$C$60=$C294)),""))</f>
        <v/>
      </c>
    </row>
    <row r="295" spans="7:36" ht="25" customHeight="1" x14ac:dyDescent="0.35">
      <c r="G295" s="15" t="str">
        <f t="shared" si="46"/>
        <v/>
      </c>
      <c r="H295" s="12" t="str">
        <f t="shared" ca="1" si="47"/>
        <v/>
      </c>
      <c r="I295" s="14"/>
      <c r="J295" s="1" t="str">
        <f>IF(COUNTA(A295:F2582)=0,"",IF(#REF!="","BRAK PROTOKOŁU","DODANY"))</f>
        <v/>
      </c>
      <c r="K295" s="1"/>
      <c r="M295" s="13" t="str" cm="1">
        <f t="array" ref="M295">IF($A295="","",IFERROR(TRANSPOSE(_xlfn._xlws.FILTER(Lokale!$C$3:$C$91,Lokale!$B$3:$B$91=$A295)),""))</f>
        <v/>
      </c>
      <c r="AJ295" s="13" t="str" cm="1">
        <f t="array" ref="AJ295">IF($C295="","",IFERROR(TRANSPOSE(_xlfn._xlws.FILTER(Listy!$D$2:$D$60,Listy!$C$2:$C$60=$C295)),""))</f>
        <v/>
      </c>
    </row>
    <row r="296" spans="7:36" ht="25" customHeight="1" x14ac:dyDescent="0.35">
      <c r="G296" s="15" t="str">
        <f t="shared" si="46"/>
        <v/>
      </c>
      <c r="H296" s="12" t="str">
        <f t="shared" ca="1" si="47"/>
        <v/>
      </c>
      <c r="I296" s="14"/>
      <c r="J296" s="1" t="str">
        <f>IF(COUNTA(A296:F2583)=0,"",IF(#REF!="","BRAK PROTOKOŁU","DODANY"))</f>
        <v/>
      </c>
      <c r="K296" s="1"/>
      <c r="M296" s="13" t="str" cm="1">
        <f t="array" ref="M296">IF($A296="","",IFERROR(TRANSPOSE(_xlfn._xlws.FILTER(Lokale!$C$3:$C$91,Lokale!$B$3:$B$91=$A296)),""))</f>
        <v/>
      </c>
      <c r="AJ296" s="13" t="str" cm="1">
        <f t="array" ref="AJ296">IF($C296="","",IFERROR(TRANSPOSE(_xlfn._xlws.FILTER(Listy!$D$2:$D$60,Listy!$C$2:$C$60=$C296)),""))</f>
        <v/>
      </c>
    </row>
    <row r="297" spans="7:36" ht="25" customHeight="1" x14ac:dyDescent="0.35">
      <c r="G297" s="15" t="str">
        <f t="shared" si="46"/>
        <v/>
      </c>
      <c r="H297" s="12" t="str">
        <f t="shared" ca="1" si="47"/>
        <v/>
      </c>
      <c r="I297" s="14"/>
      <c r="J297" s="1" t="str">
        <f>IF(COUNTA(A297:F2584)=0,"",IF(#REF!="","BRAK PROTOKOŁU","DODANY"))</f>
        <v/>
      </c>
      <c r="K297" s="1"/>
      <c r="M297" s="13" t="str" cm="1">
        <f t="array" ref="M297">IF($A297="","",IFERROR(TRANSPOSE(_xlfn._xlws.FILTER(Lokale!$C$3:$C$91,Lokale!$B$3:$B$91=$A297)),""))</f>
        <v/>
      </c>
      <c r="AJ297" s="13" t="str" cm="1">
        <f t="array" ref="AJ297">IF($C297="","",IFERROR(TRANSPOSE(_xlfn._xlws.FILTER(Listy!$D$2:$D$60,Listy!$C$2:$C$60=$C297)),""))</f>
        <v/>
      </c>
    </row>
    <row r="298" spans="7:36" ht="25" customHeight="1" x14ac:dyDescent="0.35">
      <c r="G298" s="15" t="str">
        <f t="shared" si="46"/>
        <v/>
      </c>
      <c r="H298" s="12" t="str">
        <f t="shared" ca="1" si="47"/>
        <v/>
      </c>
      <c r="I298" s="14"/>
      <c r="J298" s="1" t="str">
        <f>IF(COUNTA(A298:F2585)=0,"",IF(#REF!="","BRAK PROTOKOŁU","DODANY"))</f>
        <v/>
      </c>
      <c r="K298" s="1"/>
      <c r="M298" s="13" t="str" cm="1">
        <f t="array" ref="M298">IF($A298="","",IFERROR(TRANSPOSE(_xlfn._xlws.FILTER(Lokale!$C$3:$C$91,Lokale!$B$3:$B$91=$A298)),""))</f>
        <v/>
      </c>
      <c r="AJ298" s="13" t="str" cm="1">
        <f t="array" ref="AJ298">IF($C298="","",IFERROR(TRANSPOSE(_xlfn._xlws.FILTER(Listy!$D$2:$D$60,Listy!$C$2:$C$60=$C298)),""))</f>
        <v/>
      </c>
    </row>
    <row r="299" spans="7:36" ht="25" customHeight="1" x14ac:dyDescent="0.35">
      <c r="G299" s="15" t="str">
        <f t="shared" si="46"/>
        <v/>
      </c>
      <c r="H299" s="12" t="str">
        <f t="shared" ca="1" si="47"/>
        <v/>
      </c>
      <c r="I299" s="14"/>
      <c r="J299" s="1" t="str">
        <f>IF(COUNTA(A299:F2586)=0,"",IF(#REF!="","BRAK PROTOKOŁU","DODANY"))</f>
        <v/>
      </c>
      <c r="K299" s="1"/>
      <c r="M299" s="13" t="str" cm="1">
        <f t="array" ref="M299">IF($A299="","",IFERROR(TRANSPOSE(_xlfn._xlws.FILTER(Lokale!$C$3:$C$91,Lokale!$B$3:$B$91=$A299)),""))</f>
        <v/>
      </c>
      <c r="AJ299" s="13" t="str" cm="1">
        <f t="array" ref="AJ299">IF($C299="","",IFERROR(TRANSPOSE(_xlfn._xlws.FILTER(Listy!$D$2:$D$60,Listy!$C$2:$C$60=$C299)),""))</f>
        <v/>
      </c>
    </row>
    <row r="300" spans="7:36" ht="25" customHeight="1" x14ac:dyDescent="0.35">
      <c r="G300" s="15" t="str">
        <f t="shared" si="46"/>
        <v/>
      </c>
      <c r="H300" s="12" t="str">
        <f t="shared" ca="1" si="47"/>
        <v/>
      </c>
      <c r="I300" s="14"/>
      <c r="J300" s="1" t="str">
        <f>IF(COUNTA(A300:F2587)=0,"",IF(#REF!="","BRAK PROTOKOŁU","DODANY"))</f>
        <v/>
      </c>
      <c r="K300" s="1"/>
      <c r="M300" s="13" t="str" cm="1">
        <f t="array" ref="M300">IF($A300="","",IFERROR(TRANSPOSE(_xlfn._xlws.FILTER(Lokale!$C$3:$C$91,Lokale!$B$3:$B$91=$A300)),""))</f>
        <v/>
      </c>
      <c r="AJ300" s="13" t="str" cm="1">
        <f t="array" ref="AJ300">IF($C300="","",IFERROR(TRANSPOSE(_xlfn._xlws.FILTER(Listy!$D$2:$D$60,Listy!$C$2:$C$60=$C300)),""))</f>
        <v/>
      </c>
    </row>
    <row r="301" spans="7:36" ht="25" customHeight="1" x14ac:dyDescent="0.35">
      <c r="G301" s="15" t="str">
        <f t="shared" si="46"/>
        <v/>
      </c>
      <c r="H301" s="12" t="str">
        <f t="shared" ca="1" si="47"/>
        <v/>
      </c>
      <c r="I301" s="14"/>
      <c r="J301" s="1" t="str">
        <f>IF(COUNTA(A301:F2588)=0,"",IF(#REF!="","BRAK PROTOKOŁU","DODANY"))</f>
        <v/>
      </c>
      <c r="K301" s="1"/>
      <c r="M301" s="13" t="str" cm="1">
        <f t="array" ref="M301">IF($A301="","",IFERROR(TRANSPOSE(_xlfn._xlws.FILTER(Lokale!$C$3:$C$91,Lokale!$B$3:$B$91=$A301)),""))</f>
        <v/>
      </c>
      <c r="AJ301" s="13" t="str" cm="1">
        <f t="array" ref="AJ301">IF($C301="","",IFERROR(TRANSPOSE(_xlfn._xlws.FILTER(Listy!$D$2:$D$60,Listy!$C$2:$C$60=$C301)),""))</f>
        <v/>
      </c>
    </row>
    <row r="302" spans="7:36" ht="25" customHeight="1" x14ac:dyDescent="0.35">
      <c r="G302" s="15" t="str">
        <f t="shared" si="46"/>
        <v/>
      </c>
      <c r="H302" s="12" t="str">
        <f t="shared" ca="1" si="47"/>
        <v/>
      </c>
      <c r="I302" s="14"/>
      <c r="J302" s="1" t="str">
        <f>IF(COUNTA(A302:F2589)=0,"",IF(#REF!="","BRAK PROTOKOŁU","DODANY"))</f>
        <v/>
      </c>
      <c r="K302" s="1"/>
      <c r="M302" s="13" t="str" cm="1">
        <f t="array" ref="M302">IF($A302="","",IFERROR(TRANSPOSE(_xlfn._xlws.FILTER(Lokale!$C$3:$C$91,Lokale!$B$3:$B$91=$A302)),""))</f>
        <v/>
      </c>
      <c r="AJ302" s="13" t="str" cm="1">
        <f t="array" ref="AJ302">IF($C302="","",IFERROR(TRANSPOSE(_xlfn._xlws.FILTER(Listy!$D$2:$D$60,Listy!$C$2:$C$60=$C302)),""))</f>
        <v/>
      </c>
    </row>
    <row r="303" spans="7:36" ht="25" customHeight="1" x14ac:dyDescent="0.35">
      <c r="G303" s="15" t="str">
        <f t="shared" si="46"/>
        <v/>
      </c>
      <c r="H303" s="12" t="str">
        <f t="shared" ca="1" si="47"/>
        <v/>
      </c>
      <c r="I303" s="14"/>
      <c r="J303" s="1" t="str">
        <f>IF(COUNTA(A303:F2590)=0,"",IF(#REF!="","BRAK PROTOKOŁU","DODANY"))</f>
        <v/>
      </c>
      <c r="K303" s="1"/>
      <c r="M303" s="13" t="str" cm="1">
        <f t="array" ref="M303">IF($A303="","",IFERROR(TRANSPOSE(_xlfn._xlws.FILTER(Lokale!$C$3:$C$91,Lokale!$B$3:$B$91=$A303)),""))</f>
        <v/>
      </c>
      <c r="AJ303" s="13" t="str" cm="1">
        <f t="array" ref="AJ303">IF($C303="","",IFERROR(TRANSPOSE(_xlfn._xlws.FILTER(Listy!$D$2:$D$60,Listy!$C$2:$C$60=$C303)),""))</f>
        <v/>
      </c>
    </row>
    <row r="304" spans="7:36" ht="25" customHeight="1" x14ac:dyDescent="0.35">
      <c r="G304" s="15" t="str">
        <f t="shared" si="46"/>
        <v/>
      </c>
      <c r="H304" s="12" t="str">
        <f t="shared" ca="1" si="47"/>
        <v/>
      </c>
      <c r="I304" s="14"/>
      <c r="J304" s="1" t="str">
        <f>IF(COUNTA(A304:F2591)=0,"",IF(#REF!="","BRAK PROTOKOŁU","DODANY"))</f>
        <v/>
      </c>
      <c r="K304" s="1"/>
      <c r="M304" s="13" t="str" cm="1">
        <f t="array" ref="M304">IF($A304="","",IFERROR(TRANSPOSE(_xlfn._xlws.FILTER(Lokale!$C$3:$C$91,Lokale!$B$3:$B$91=$A304)),""))</f>
        <v/>
      </c>
      <c r="AJ304" s="13" t="str" cm="1">
        <f t="array" ref="AJ304">IF($C304="","",IFERROR(TRANSPOSE(_xlfn._xlws.FILTER(Listy!$D$2:$D$60,Listy!$C$2:$C$60=$C304)),""))</f>
        <v/>
      </c>
    </row>
    <row r="305" spans="7:36" ht="25" customHeight="1" x14ac:dyDescent="0.35">
      <c r="G305" s="15" t="str">
        <f t="shared" si="46"/>
        <v/>
      </c>
      <c r="H305" s="12" t="str">
        <f t="shared" ca="1" si="47"/>
        <v/>
      </c>
      <c r="I305" s="14"/>
      <c r="J305" s="1" t="str">
        <f>IF(COUNTA(A305:F2592)=0,"",IF(#REF!="","BRAK PROTOKOŁU","DODANY"))</f>
        <v/>
      </c>
      <c r="K305" s="1"/>
      <c r="M305" s="13" t="str" cm="1">
        <f t="array" ref="M305">IF($A305="","",IFERROR(TRANSPOSE(_xlfn._xlws.FILTER(Lokale!$C$3:$C$91,Lokale!$B$3:$B$91=$A305)),""))</f>
        <v/>
      </c>
      <c r="AJ305" s="13" t="str" cm="1">
        <f t="array" ref="AJ305">IF($C305="","",IFERROR(TRANSPOSE(_xlfn._xlws.FILTER(Listy!$D$2:$D$60,Listy!$C$2:$C$60=$C305)),""))</f>
        <v/>
      </c>
    </row>
    <row r="306" spans="7:36" ht="25" customHeight="1" x14ac:dyDescent="0.35">
      <c r="G306" s="15" t="str">
        <f t="shared" si="46"/>
        <v/>
      </c>
      <c r="H306" s="12" t="str">
        <f t="shared" ca="1" si="47"/>
        <v/>
      </c>
      <c r="I306" s="14"/>
      <c r="J306" s="1" t="str">
        <f>IF(COUNTA(A306:F2593)=0,"",IF(#REF!="","BRAK PROTOKOŁU","DODANY"))</f>
        <v/>
      </c>
      <c r="K306" s="1"/>
      <c r="M306" s="13" t="str" cm="1">
        <f t="array" ref="M306">IF($A306="","",IFERROR(TRANSPOSE(_xlfn._xlws.FILTER(Lokale!$C$3:$C$91,Lokale!$B$3:$B$91=$A306)),""))</f>
        <v/>
      </c>
      <c r="AJ306" s="13" t="str" cm="1">
        <f t="array" ref="AJ306">IF($C306="","",IFERROR(TRANSPOSE(_xlfn._xlws.FILTER(Listy!$D$2:$D$60,Listy!$C$2:$C$60=$C306)),""))</f>
        <v/>
      </c>
    </row>
    <row r="307" spans="7:36" ht="25" customHeight="1" x14ac:dyDescent="0.35">
      <c r="G307" s="15" t="str">
        <f t="shared" si="46"/>
        <v/>
      </c>
      <c r="H307" s="12" t="str">
        <f t="shared" ca="1" si="47"/>
        <v/>
      </c>
      <c r="I307" s="14"/>
      <c r="J307" s="1" t="str">
        <f>IF(COUNTA(A307:F2594)=0,"",IF(#REF!="","BRAK PROTOKOŁU","DODANY"))</f>
        <v/>
      </c>
      <c r="K307" s="1"/>
      <c r="M307" s="13" t="str" cm="1">
        <f t="array" ref="M307">IF($A307="","",IFERROR(TRANSPOSE(_xlfn._xlws.FILTER(Lokale!$C$3:$C$91,Lokale!$B$3:$B$91=$A307)),""))</f>
        <v/>
      </c>
      <c r="AJ307" s="13" t="str" cm="1">
        <f t="array" ref="AJ307">IF($C307="","",IFERROR(TRANSPOSE(_xlfn._xlws.FILTER(Listy!$D$2:$D$60,Listy!$C$2:$C$60=$C307)),""))</f>
        <v/>
      </c>
    </row>
    <row r="308" spans="7:36" ht="25" customHeight="1" x14ac:dyDescent="0.35">
      <c r="G308" s="15" t="str">
        <f t="shared" si="46"/>
        <v/>
      </c>
      <c r="H308" s="12" t="str">
        <f t="shared" ca="1" si="47"/>
        <v/>
      </c>
      <c r="I308" s="14"/>
      <c r="J308" s="1" t="str">
        <f>IF(COUNTA(A308:F2595)=0,"",IF(#REF!="","BRAK PROTOKOŁU","DODANY"))</f>
        <v/>
      </c>
      <c r="K308" s="1"/>
      <c r="M308" s="13" t="str" cm="1">
        <f t="array" ref="M308">IF($A308="","",IFERROR(TRANSPOSE(_xlfn._xlws.FILTER(Lokale!$C$3:$C$91,Lokale!$B$3:$B$91=$A308)),""))</f>
        <v/>
      </c>
      <c r="AJ308" s="13" t="str" cm="1">
        <f t="array" ref="AJ308">IF($C308="","",IFERROR(TRANSPOSE(_xlfn._xlws.FILTER(Listy!$D$2:$D$60,Listy!$C$2:$C$60=$C308)),""))</f>
        <v/>
      </c>
    </row>
    <row r="309" spans="7:36" ht="25" customHeight="1" x14ac:dyDescent="0.35">
      <c r="G309" s="15" t="str">
        <f t="shared" si="46"/>
        <v/>
      </c>
      <c r="H309" s="12" t="str">
        <f t="shared" ca="1" si="47"/>
        <v/>
      </c>
      <c r="I309" s="14"/>
      <c r="J309" s="1" t="str">
        <f>IF(COUNTA(A309:F2596)=0,"",IF(#REF!="","BRAK PROTOKOŁU","DODANY"))</f>
        <v/>
      </c>
      <c r="K309" s="1"/>
      <c r="M309" s="13" t="str" cm="1">
        <f t="array" ref="M309">IF($A309="","",IFERROR(TRANSPOSE(_xlfn._xlws.FILTER(Lokale!$C$3:$C$91,Lokale!$B$3:$B$91=$A309)),""))</f>
        <v/>
      </c>
      <c r="AJ309" s="13" t="str" cm="1">
        <f t="array" ref="AJ309">IF($C309="","",IFERROR(TRANSPOSE(_xlfn._xlws.FILTER(Listy!$D$2:$D$60,Listy!$C$2:$C$60=$C309)),""))</f>
        <v/>
      </c>
    </row>
    <row r="310" spans="7:36" ht="25" customHeight="1" x14ac:dyDescent="0.35">
      <c r="G310" s="15" t="str">
        <f t="shared" si="46"/>
        <v/>
      </c>
      <c r="H310" s="12" t="str">
        <f t="shared" ca="1" si="47"/>
        <v/>
      </c>
      <c r="I310" s="14"/>
      <c r="J310" s="1" t="str">
        <f>IF(COUNTA(A310:F2597)=0,"",IF(#REF!="","BRAK PROTOKOŁU","DODANY"))</f>
        <v/>
      </c>
      <c r="K310" s="1"/>
      <c r="M310" s="13" t="str" cm="1">
        <f t="array" ref="M310">IF($A310="","",IFERROR(TRANSPOSE(_xlfn._xlws.FILTER(Lokale!$C$3:$C$91,Lokale!$B$3:$B$91=$A310)),""))</f>
        <v/>
      </c>
      <c r="AJ310" s="13" t="str" cm="1">
        <f t="array" ref="AJ310">IF($C310="","",IFERROR(TRANSPOSE(_xlfn._xlws.FILTER(Listy!$D$2:$D$60,Listy!$C$2:$C$60=$C310)),""))</f>
        <v/>
      </c>
    </row>
    <row r="311" spans="7:36" ht="25" customHeight="1" x14ac:dyDescent="0.35">
      <c r="G311" s="15" t="str">
        <f t="shared" si="46"/>
        <v/>
      </c>
      <c r="H311" s="12" t="str">
        <f t="shared" ca="1" si="47"/>
        <v/>
      </c>
      <c r="I311" s="14"/>
      <c r="J311" s="1" t="str">
        <f>IF(COUNTA(A311:F2598)=0,"",IF(#REF!="","BRAK PROTOKOŁU","DODANY"))</f>
        <v/>
      </c>
      <c r="K311" s="1"/>
      <c r="M311" s="13" t="str" cm="1">
        <f t="array" ref="M311">IF($A311="","",IFERROR(TRANSPOSE(_xlfn._xlws.FILTER(Lokale!$C$3:$C$91,Lokale!$B$3:$B$91=$A311)),""))</f>
        <v/>
      </c>
      <c r="AJ311" s="13" t="str" cm="1">
        <f t="array" ref="AJ311">IF($C311="","",IFERROR(TRANSPOSE(_xlfn._xlws.FILTER(Listy!$D$2:$D$60,Listy!$C$2:$C$60=$C311)),""))</f>
        <v/>
      </c>
    </row>
    <row r="312" spans="7:36" ht="25" customHeight="1" x14ac:dyDescent="0.35">
      <c r="G312" s="15" t="str">
        <f t="shared" si="46"/>
        <v/>
      </c>
      <c r="H312" s="12" t="str">
        <f t="shared" ca="1" si="47"/>
        <v/>
      </c>
      <c r="I312" s="14"/>
      <c r="J312" s="1" t="str">
        <f>IF(COUNTA(A312:F2599)=0,"",IF(#REF!="","BRAK PROTOKOŁU","DODANY"))</f>
        <v/>
      </c>
      <c r="K312" s="1"/>
      <c r="M312" s="13" t="str" cm="1">
        <f t="array" ref="M312">IF($A312="","",IFERROR(TRANSPOSE(_xlfn._xlws.FILTER(Lokale!$C$3:$C$91,Lokale!$B$3:$B$91=$A312)),""))</f>
        <v/>
      </c>
      <c r="AJ312" s="13" t="str" cm="1">
        <f t="array" ref="AJ312">IF($C312="","",IFERROR(TRANSPOSE(_xlfn._xlws.FILTER(Listy!$D$2:$D$60,Listy!$C$2:$C$60=$C312)),""))</f>
        <v/>
      </c>
    </row>
    <row r="313" spans="7:36" ht="25" customHeight="1" x14ac:dyDescent="0.35">
      <c r="G313" s="15" t="str">
        <f t="shared" si="46"/>
        <v/>
      </c>
      <c r="H313" s="12" t="str">
        <f t="shared" ca="1" si="47"/>
        <v/>
      </c>
      <c r="I313" s="14"/>
      <c r="J313" s="1" t="str">
        <f>IF(COUNTA(A313:F2600)=0,"",IF(#REF!="","BRAK PROTOKOŁU","DODANY"))</f>
        <v/>
      </c>
      <c r="K313" s="1"/>
      <c r="M313" s="13" t="str" cm="1">
        <f t="array" ref="M313">IF($A313="","",IFERROR(TRANSPOSE(_xlfn._xlws.FILTER(Lokale!$C$3:$C$91,Lokale!$B$3:$B$91=$A313)),""))</f>
        <v/>
      </c>
      <c r="AJ313" s="13" t="str" cm="1">
        <f t="array" ref="AJ313">IF($C313="","",IFERROR(TRANSPOSE(_xlfn._xlws.FILTER(Listy!$D$2:$D$60,Listy!$C$2:$C$60=$C313)),""))</f>
        <v/>
      </c>
    </row>
    <row r="314" spans="7:36" ht="25" customHeight="1" x14ac:dyDescent="0.35">
      <c r="G314" s="15" t="str">
        <f t="shared" si="46"/>
        <v/>
      </c>
      <c r="H314" s="12" t="str">
        <f t="shared" ca="1" si="47"/>
        <v/>
      </c>
      <c r="I314" s="14"/>
      <c r="J314" s="1" t="str">
        <f>IF(COUNTA(A314:F2601)=0,"",IF(#REF!="","BRAK PROTOKOŁU","DODANY"))</f>
        <v/>
      </c>
      <c r="K314" s="1"/>
      <c r="M314" s="13" t="str" cm="1">
        <f t="array" ref="M314">IF($A314="","",IFERROR(TRANSPOSE(_xlfn._xlws.FILTER(Lokale!$C$3:$C$91,Lokale!$B$3:$B$91=$A314)),""))</f>
        <v/>
      </c>
      <c r="AJ314" s="13" t="str" cm="1">
        <f t="array" ref="AJ314">IF($C314="","",IFERROR(TRANSPOSE(_xlfn._xlws.FILTER(Listy!$D$2:$D$60,Listy!$C$2:$C$60=$C314)),""))</f>
        <v/>
      </c>
    </row>
    <row r="315" spans="7:36" ht="25" customHeight="1" x14ac:dyDescent="0.35">
      <c r="G315" s="15" t="str">
        <f t="shared" si="46"/>
        <v/>
      </c>
      <c r="H315" s="12" t="str">
        <f t="shared" ca="1" si="47"/>
        <v/>
      </c>
      <c r="I315" s="14"/>
      <c r="J315" s="1" t="str">
        <f>IF(COUNTA(A315:F2602)=0,"",IF(#REF!="","BRAK PROTOKOŁU","DODANY"))</f>
        <v/>
      </c>
      <c r="K315" s="1"/>
      <c r="M315" s="13" t="str" cm="1">
        <f t="array" ref="M315">IF($A315="","",IFERROR(TRANSPOSE(_xlfn._xlws.FILTER(Lokale!$C$3:$C$91,Lokale!$B$3:$B$91=$A315)),""))</f>
        <v/>
      </c>
      <c r="AJ315" s="13" t="str" cm="1">
        <f t="array" ref="AJ315">IF($C315="","",IFERROR(TRANSPOSE(_xlfn._xlws.FILTER(Listy!$D$2:$D$60,Listy!$C$2:$C$60=$C315)),""))</f>
        <v/>
      </c>
    </row>
    <row r="316" spans="7:36" ht="25" customHeight="1" x14ac:dyDescent="0.35">
      <c r="G316" s="15" t="str">
        <f t="shared" si="46"/>
        <v/>
      </c>
      <c r="H316" s="12" t="str">
        <f t="shared" ca="1" si="47"/>
        <v/>
      </c>
      <c r="I316" s="14"/>
      <c r="J316" s="1" t="str">
        <f>IF(COUNTA(A316:F2603)=0,"",IF(#REF!="","BRAK PROTOKOŁU","DODANY"))</f>
        <v/>
      </c>
      <c r="K316" s="1"/>
      <c r="M316" s="13" t="str" cm="1">
        <f t="array" ref="M316">IF($A316="","",IFERROR(TRANSPOSE(_xlfn._xlws.FILTER(Lokale!$C$3:$C$91,Lokale!$B$3:$B$91=$A316)),""))</f>
        <v/>
      </c>
      <c r="AJ316" s="13" t="str" cm="1">
        <f t="array" ref="AJ316">IF($C316="","",IFERROR(TRANSPOSE(_xlfn._xlws.FILTER(Listy!$D$2:$D$60,Listy!$C$2:$C$60=$C316)),""))</f>
        <v/>
      </c>
    </row>
    <row r="317" spans="7:36" ht="25" customHeight="1" x14ac:dyDescent="0.35">
      <c r="G317" s="15" t="str">
        <f t="shared" si="46"/>
        <v/>
      </c>
      <c r="H317" s="12" t="str">
        <f t="shared" ca="1" si="47"/>
        <v/>
      </c>
      <c r="I317" s="14"/>
      <c r="J317" s="1" t="str">
        <f>IF(COUNTA(A317:F2604)=0,"",IF(#REF!="","BRAK PROTOKOŁU","DODANY"))</f>
        <v/>
      </c>
      <c r="K317" s="1"/>
      <c r="M317" s="13" t="str" cm="1">
        <f t="array" ref="M317">IF($A317="","",IFERROR(TRANSPOSE(_xlfn._xlws.FILTER(Lokale!$C$3:$C$91,Lokale!$B$3:$B$91=$A317)),""))</f>
        <v/>
      </c>
      <c r="AJ317" s="13" t="str" cm="1">
        <f t="array" ref="AJ317">IF($C317="","",IFERROR(TRANSPOSE(_xlfn._xlws.FILTER(Listy!$D$2:$D$60,Listy!$C$2:$C$60=$C317)),""))</f>
        <v/>
      </c>
    </row>
    <row r="318" spans="7:36" ht="25" customHeight="1" x14ac:dyDescent="0.35">
      <c r="G318" s="15" t="str">
        <f t="shared" si="46"/>
        <v/>
      </c>
      <c r="H318" s="12" t="str">
        <f t="shared" ca="1" si="47"/>
        <v/>
      </c>
      <c r="I318" s="14"/>
      <c r="J318" s="1" t="str">
        <f>IF(COUNTA(A318:F2605)=0,"",IF(#REF!="","BRAK PROTOKOŁU","DODANY"))</f>
        <v/>
      </c>
      <c r="K318" s="1"/>
      <c r="M318" s="13" t="str" cm="1">
        <f t="array" ref="M318">IF($A318="","",IFERROR(TRANSPOSE(_xlfn._xlws.FILTER(Lokale!$C$3:$C$91,Lokale!$B$3:$B$91=$A318)),""))</f>
        <v/>
      </c>
      <c r="AJ318" s="13" t="str" cm="1">
        <f t="array" ref="AJ318">IF($C318="","",IFERROR(TRANSPOSE(_xlfn._xlws.FILTER(Listy!$D$2:$D$60,Listy!$C$2:$C$60=$C318)),""))</f>
        <v/>
      </c>
    </row>
    <row r="319" spans="7:36" ht="25" customHeight="1" x14ac:dyDescent="0.35">
      <c r="G319" s="15" t="str">
        <f t="shared" si="46"/>
        <v/>
      </c>
      <c r="H319" s="12" t="str">
        <f t="shared" ca="1" si="47"/>
        <v/>
      </c>
      <c r="I319" s="14"/>
      <c r="J319" s="1" t="str">
        <f>IF(COUNTA(A319:F2606)=0,"",IF(#REF!="","BRAK PROTOKOŁU","DODANY"))</f>
        <v/>
      </c>
      <c r="K319" s="1"/>
      <c r="M319" s="13" t="str" cm="1">
        <f t="array" ref="M319">IF($A319="","",IFERROR(TRANSPOSE(_xlfn._xlws.FILTER(Lokale!$C$3:$C$91,Lokale!$B$3:$B$91=$A319)),""))</f>
        <v/>
      </c>
      <c r="AJ319" s="13" t="str" cm="1">
        <f t="array" ref="AJ319">IF($C319="","",IFERROR(TRANSPOSE(_xlfn._xlws.FILTER(Listy!$D$2:$D$60,Listy!$C$2:$C$60=$C319)),""))</f>
        <v/>
      </c>
    </row>
    <row r="320" spans="7:36" ht="25" customHeight="1" x14ac:dyDescent="0.35">
      <c r="G320" s="15" t="str">
        <f t="shared" si="46"/>
        <v/>
      </c>
      <c r="H320" s="12" t="str">
        <f t="shared" ca="1" si="47"/>
        <v/>
      </c>
      <c r="I320" s="14"/>
      <c r="J320" s="1" t="str">
        <f>IF(COUNTA(A320:F2607)=0,"",IF(#REF!="","BRAK PROTOKOŁU","DODANY"))</f>
        <v/>
      </c>
      <c r="K320" s="1"/>
      <c r="M320" s="13" t="str" cm="1">
        <f t="array" ref="M320">IF($A320="","",IFERROR(TRANSPOSE(_xlfn._xlws.FILTER(Lokale!$C$3:$C$91,Lokale!$B$3:$B$91=$A320)),""))</f>
        <v/>
      </c>
      <c r="AJ320" s="13" t="str" cm="1">
        <f t="array" ref="AJ320">IF($C320="","",IFERROR(TRANSPOSE(_xlfn._xlws.FILTER(Listy!$D$2:$D$60,Listy!$C$2:$C$60=$C320)),""))</f>
        <v/>
      </c>
    </row>
    <row r="321" spans="7:36" ht="25" customHeight="1" x14ac:dyDescent="0.35">
      <c r="G321" s="15" t="str">
        <f t="shared" si="46"/>
        <v/>
      </c>
      <c r="H321" s="12" t="str">
        <f t="shared" ca="1" si="47"/>
        <v/>
      </c>
      <c r="I321" s="14"/>
      <c r="J321" s="1" t="str">
        <f>IF(COUNTA(A321:F2608)=0,"",IF(#REF!="","BRAK PROTOKOŁU","DODANY"))</f>
        <v/>
      </c>
      <c r="K321" s="1"/>
      <c r="M321" s="13" t="str" cm="1">
        <f t="array" ref="M321">IF($A321="","",IFERROR(TRANSPOSE(_xlfn._xlws.FILTER(Lokale!$C$3:$C$91,Lokale!$B$3:$B$91=$A321)),""))</f>
        <v/>
      </c>
      <c r="AJ321" s="13" t="str" cm="1">
        <f t="array" ref="AJ321">IF($C321="","",IFERROR(TRANSPOSE(_xlfn._xlws.FILTER(Listy!$D$2:$D$60,Listy!$C$2:$C$60=$C321)),""))</f>
        <v/>
      </c>
    </row>
    <row r="322" spans="7:36" ht="25" customHeight="1" x14ac:dyDescent="0.35">
      <c r="G322" s="15" t="str">
        <f t="shared" si="46"/>
        <v/>
      </c>
      <c r="H322" s="12" t="str">
        <f t="shared" ca="1" si="47"/>
        <v/>
      </c>
      <c r="I322" s="14"/>
      <c r="J322" s="1" t="str">
        <f>IF(COUNTA(A322:F2609)=0,"",IF(#REF!="","BRAK PROTOKOŁU","DODANY"))</f>
        <v/>
      </c>
      <c r="K322" s="1"/>
      <c r="M322" s="13" t="str" cm="1">
        <f t="array" ref="M322">IF($A322="","",IFERROR(TRANSPOSE(_xlfn._xlws.FILTER(Lokale!$C$3:$C$91,Lokale!$B$3:$B$91=$A322)),""))</f>
        <v/>
      </c>
      <c r="AJ322" s="13" t="str" cm="1">
        <f t="array" ref="AJ322">IF($C322="","",IFERROR(TRANSPOSE(_xlfn._xlws.FILTER(Listy!$D$2:$D$60,Listy!$C$2:$C$60=$C322)),""))</f>
        <v/>
      </c>
    </row>
    <row r="323" spans="7:36" ht="25" customHeight="1" x14ac:dyDescent="0.35">
      <c r="G323" s="15" t="str">
        <f t="shared" si="46"/>
        <v/>
      </c>
      <c r="H323" s="12" t="str">
        <f t="shared" ca="1" si="47"/>
        <v/>
      </c>
      <c r="I323" s="14"/>
      <c r="J323" s="1" t="str">
        <f>IF(COUNTA(A323:F2610)=0,"",IF(#REF!="","BRAK PROTOKOŁU","DODANY"))</f>
        <v/>
      </c>
      <c r="K323" s="1"/>
      <c r="M323" s="13" t="str" cm="1">
        <f t="array" ref="M323">IF($A323="","",IFERROR(TRANSPOSE(_xlfn._xlws.FILTER(Lokale!$C$3:$C$91,Lokale!$B$3:$B$91=$A323)),""))</f>
        <v/>
      </c>
      <c r="AJ323" s="13" t="str" cm="1">
        <f t="array" ref="AJ323">IF($C323="","",IFERROR(TRANSPOSE(_xlfn._xlws.FILTER(Listy!$D$2:$D$60,Listy!$C$2:$C$60=$C323)),""))</f>
        <v/>
      </c>
    </row>
    <row r="324" spans="7:36" ht="25" customHeight="1" x14ac:dyDescent="0.35">
      <c r="G324" s="15" t="str">
        <f t="shared" si="46"/>
        <v/>
      </c>
      <c r="H324" s="12" t="str">
        <f t="shared" ca="1" si="47"/>
        <v/>
      </c>
      <c r="I324" s="14"/>
      <c r="J324" s="1" t="str">
        <f>IF(COUNTA(A324:F2611)=0,"",IF(#REF!="","BRAK PROTOKOŁU","DODANY"))</f>
        <v/>
      </c>
      <c r="K324" s="1"/>
      <c r="M324" s="13" t="str" cm="1">
        <f t="array" ref="M324">IF($A324="","",IFERROR(TRANSPOSE(_xlfn._xlws.FILTER(Lokale!$C$3:$C$91,Lokale!$B$3:$B$91=$A324)),""))</f>
        <v/>
      </c>
      <c r="AJ324" s="13" t="str" cm="1">
        <f t="array" ref="AJ324">IF($C324="","",IFERROR(TRANSPOSE(_xlfn._xlws.FILTER(Listy!$D$2:$D$60,Listy!$C$2:$C$60=$C324)),""))</f>
        <v/>
      </c>
    </row>
    <row r="325" spans="7:36" ht="25" customHeight="1" x14ac:dyDescent="0.35">
      <c r="G325" s="15" t="str">
        <f t="shared" si="46"/>
        <v/>
      </c>
      <c r="H325" s="12" t="str">
        <f t="shared" ca="1" si="47"/>
        <v/>
      </c>
      <c r="I325" s="14"/>
      <c r="J325" s="1" t="str">
        <f>IF(COUNTA(A325:F2612)=0,"",IF(#REF!="","BRAK PROTOKOŁU","DODANY"))</f>
        <v/>
      </c>
      <c r="K325" s="1"/>
      <c r="M325" s="13" t="str" cm="1">
        <f t="array" ref="M325">IF($A325="","",IFERROR(TRANSPOSE(_xlfn._xlws.FILTER(Lokale!$C$3:$C$91,Lokale!$B$3:$B$91=$A325)),""))</f>
        <v/>
      </c>
      <c r="AJ325" s="13" t="str" cm="1">
        <f t="array" ref="AJ325">IF($C325="","",IFERROR(TRANSPOSE(_xlfn._xlws.FILTER(Listy!$D$2:$D$60,Listy!$C$2:$C$60=$C325)),""))</f>
        <v/>
      </c>
    </row>
    <row r="326" spans="7:36" ht="25" customHeight="1" x14ac:dyDescent="0.35">
      <c r="G326" s="15" t="str">
        <f t="shared" si="46"/>
        <v/>
      </c>
      <c r="H326" s="12" t="str">
        <f t="shared" ca="1" si="47"/>
        <v/>
      </c>
      <c r="I326" s="14"/>
      <c r="J326" s="1" t="str">
        <f>IF(COUNTA(A326:F2613)=0,"",IF(#REF!="","BRAK PROTOKOŁU","DODANY"))</f>
        <v/>
      </c>
      <c r="K326" s="1"/>
      <c r="M326" s="13" t="str" cm="1">
        <f t="array" ref="M326">IF($A326="","",IFERROR(TRANSPOSE(_xlfn._xlws.FILTER(Lokale!$C$3:$C$91,Lokale!$B$3:$B$91=$A326)),""))</f>
        <v/>
      </c>
      <c r="AJ326" s="13" t="str" cm="1">
        <f t="array" ref="AJ326">IF($C326="","",IFERROR(TRANSPOSE(_xlfn._xlws.FILTER(Listy!$D$2:$D$60,Listy!$C$2:$C$60=$C326)),""))</f>
        <v/>
      </c>
    </row>
    <row r="327" spans="7:36" ht="25" customHeight="1" x14ac:dyDescent="0.35">
      <c r="G327" s="15" t="str">
        <f t="shared" si="46"/>
        <v/>
      </c>
      <c r="H327" s="12" t="str">
        <f t="shared" ca="1" si="47"/>
        <v/>
      </c>
      <c r="I327" s="14"/>
      <c r="J327" s="1" t="str">
        <f>IF(COUNTA(A327:F2614)=0,"",IF(#REF!="","BRAK PROTOKOŁU","DODANY"))</f>
        <v/>
      </c>
      <c r="K327" s="1"/>
      <c r="M327" s="13" t="str" cm="1">
        <f t="array" ref="M327">IF($A327="","",IFERROR(TRANSPOSE(_xlfn._xlws.FILTER(Lokale!$C$3:$C$91,Lokale!$B$3:$B$91=$A327)),""))</f>
        <v/>
      </c>
      <c r="AJ327" s="13" t="str" cm="1">
        <f t="array" ref="AJ327">IF($C327="","",IFERROR(TRANSPOSE(_xlfn._xlws.FILTER(Listy!$D$2:$D$60,Listy!$C$2:$C$60=$C327)),""))</f>
        <v/>
      </c>
    </row>
    <row r="328" spans="7:36" ht="25" customHeight="1" x14ac:dyDescent="0.35">
      <c r="G328" s="15" t="str">
        <f t="shared" si="46"/>
        <v/>
      </c>
      <c r="H328" s="12" t="str">
        <f t="shared" ca="1" si="47"/>
        <v/>
      </c>
      <c r="I328" s="14"/>
      <c r="J328" s="1" t="str">
        <f>IF(COUNTA(A328:F2615)=0,"",IF(#REF!="","BRAK PROTOKOŁU","DODANY"))</f>
        <v/>
      </c>
      <c r="K328" s="1"/>
      <c r="M328" s="13" t="str" cm="1">
        <f t="array" ref="M328">IF($A328="","",IFERROR(TRANSPOSE(_xlfn._xlws.FILTER(Lokale!$C$3:$C$91,Lokale!$B$3:$B$91=$A328)),""))</f>
        <v/>
      </c>
      <c r="AJ328" s="13" t="str" cm="1">
        <f t="array" ref="AJ328">IF($C328="","",IFERROR(TRANSPOSE(_xlfn._xlws.FILTER(Listy!$D$2:$D$60,Listy!$C$2:$C$60=$C328)),""))</f>
        <v/>
      </c>
    </row>
    <row r="329" spans="7:36" ht="25" customHeight="1" x14ac:dyDescent="0.35">
      <c r="G329" s="15" t="str">
        <f t="shared" si="46"/>
        <v/>
      </c>
      <c r="H329" s="12" t="str">
        <f t="shared" ca="1" si="47"/>
        <v/>
      </c>
      <c r="I329" s="14"/>
      <c r="J329" s="1" t="str">
        <f>IF(COUNTA(A329:F2616)=0,"",IF(#REF!="","BRAK PROTOKOŁU","DODANY"))</f>
        <v/>
      </c>
      <c r="K329" s="1"/>
      <c r="M329" s="13" t="str" cm="1">
        <f t="array" ref="M329">IF($A329="","",IFERROR(TRANSPOSE(_xlfn._xlws.FILTER(Lokale!$C$3:$C$91,Lokale!$B$3:$B$91=$A329)),""))</f>
        <v/>
      </c>
      <c r="AJ329" s="13" t="str" cm="1">
        <f t="array" ref="AJ329">IF($C329="","",IFERROR(TRANSPOSE(_xlfn._xlws.FILTER(Listy!$D$2:$D$60,Listy!$C$2:$C$60=$C329)),""))</f>
        <v/>
      </c>
    </row>
    <row r="330" spans="7:36" ht="25" customHeight="1" x14ac:dyDescent="0.35">
      <c r="G330" s="15" t="str">
        <f t="shared" si="46"/>
        <v/>
      </c>
      <c r="H330" s="12" t="str">
        <f t="shared" ca="1" si="47"/>
        <v/>
      </c>
      <c r="I330" s="14"/>
      <c r="J330" s="1" t="str">
        <f>IF(COUNTA(A330:F2617)=0,"",IF(#REF!="","BRAK PROTOKOŁU","DODANY"))</f>
        <v/>
      </c>
      <c r="K330" s="1"/>
      <c r="M330" s="13" t="str" cm="1">
        <f t="array" ref="M330">IF($A330="","",IFERROR(TRANSPOSE(_xlfn._xlws.FILTER(Lokale!$C$3:$C$91,Lokale!$B$3:$B$91=$A330)),""))</f>
        <v/>
      </c>
      <c r="AJ330" s="13" t="str" cm="1">
        <f t="array" ref="AJ330">IF($C330="","",IFERROR(TRANSPOSE(_xlfn._xlws.FILTER(Listy!$D$2:$D$60,Listy!$C$2:$C$60=$C330)),""))</f>
        <v/>
      </c>
    </row>
    <row r="331" spans="7:36" ht="25" customHeight="1" x14ac:dyDescent="0.35">
      <c r="G331" s="15" t="str">
        <f t="shared" si="46"/>
        <v/>
      </c>
      <c r="H331" s="12" t="str">
        <f t="shared" ca="1" si="47"/>
        <v/>
      </c>
      <c r="I331" s="14"/>
      <c r="J331" s="1" t="str">
        <f>IF(COUNTA(A331:F2618)=0,"",IF(#REF!="","BRAK PROTOKOŁU","DODANY"))</f>
        <v/>
      </c>
      <c r="K331" s="1"/>
      <c r="M331" s="13" t="str" cm="1">
        <f t="array" ref="M331">IF($A331="","",IFERROR(TRANSPOSE(_xlfn._xlws.FILTER(Lokale!$C$3:$C$91,Lokale!$B$3:$B$91=$A331)),""))</f>
        <v/>
      </c>
      <c r="AJ331" s="13" t="str" cm="1">
        <f t="array" ref="AJ331">IF($C331="","",IFERROR(TRANSPOSE(_xlfn._xlws.FILTER(Listy!$D$2:$D$60,Listy!$C$2:$C$60=$C331)),""))</f>
        <v/>
      </c>
    </row>
    <row r="332" spans="7:36" ht="25" customHeight="1" x14ac:dyDescent="0.35">
      <c r="G332" s="15" t="str">
        <f t="shared" si="46"/>
        <v/>
      </c>
      <c r="H332" s="12" t="str">
        <f t="shared" ca="1" si="47"/>
        <v/>
      </c>
      <c r="I332" s="14"/>
      <c r="J332" s="1" t="str">
        <f>IF(COUNTA(A332:F2619)=0,"",IF(#REF!="","BRAK PROTOKOŁU","DODANY"))</f>
        <v/>
      </c>
      <c r="K332" s="1"/>
      <c r="M332" s="13" t="str" cm="1">
        <f t="array" ref="M332">IF($A332="","",IFERROR(TRANSPOSE(_xlfn._xlws.FILTER(Lokale!$C$3:$C$91,Lokale!$B$3:$B$91=$A332)),""))</f>
        <v/>
      </c>
      <c r="AJ332" s="13" t="str" cm="1">
        <f t="array" ref="AJ332">IF($C332="","",IFERROR(TRANSPOSE(_xlfn._xlws.FILTER(Listy!$D$2:$D$60,Listy!$C$2:$C$60=$C332)),""))</f>
        <v/>
      </c>
    </row>
    <row r="333" spans="7:36" ht="25" customHeight="1" x14ac:dyDescent="0.35">
      <c r="G333" s="15" t="str">
        <f t="shared" si="46"/>
        <v/>
      </c>
      <c r="H333" s="12" t="str">
        <f t="shared" ca="1" si="47"/>
        <v/>
      </c>
      <c r="I333" s="14"/>
      <c r="J333" s="1" t="str">
        <f>IF(COUNTA(A333:F2620)=0,"",IF(#REF!="","BRAK PROTOKOŁU","DODANY"))</f>
        <v/>
      </c>
      <c r="K333" s="1"/>
      <c r="M333" s="13" t="str" cm="1">
        <f t="array" ref="M333">IF($A333="","",IFERROR(TRANSPOSE(_xlfn._xlws.FILTER(Lokale!$C$3:$C$91,Lokale!$B$3:$B$91=$A333)),""))</f>
        <v/>
      </c>
      <c r="AJ333" s="13" t="str" cm="1">
        <f t="array" ref="AJ333">IF($C333="","",IFERROR(TRANSPOSE(_xlfn._xlws.FILTER(Listy!$D$2:$D$60,Listy!$C$2:$C$60=$C333)),""))</f>
        <v/>
      </c>
    </row>
    <row r="334" spans="7:36" ht="25" customHeight="1" x14ac:dyDescent="0.35">
      <c r="G334" s="15" t="str">
        <f t="shared" si="46"/>
        <v/>
      </c>
      <c r="H334" s="12" t="str">
        <f t="shared" ca="1" si="47"/>
        <v/>
      </c>
      <c r="I334" s="14"/>
      <c r="J334" s="1" t="str">
        <f>IF(COUNTA(A334:F2621)=0,"",IF(#REF!="","BRAK PROTOKOŁU","DODANY"))</f>
        <v/>
      </c>
      <c r="K334" s="1"/>
      <c r="M334" s="13" t="str" cm="1">
        <f t="array" ref="M334">IF($A334="","",IFERROR(TRANSPOSE(_xlfn._xlws.FILTER(Lokale!$C$3:$C$91,Lokale!$B$3:$B$91=$A334)),""))</f>
        <v/>
      </c>
      <c r="AJ334" s="13" t="str" cm="1">
        <f t="array" ref="AJ334">IF($C334="","",IFERROR(TRANSPOSE(_xlfn._xlws.FILTER(Listy!$D$2:$D$60,Listy!$C$2:$C$60=$C334)),""))</f>
        <v/>
      </c>
    </row>
    <row r="335" spans="7:36" ht="25" customHeight="1" x14ac:dyDescent="0.35">
      <c r="G335" s="15" t="str">
        <f t="shared" si="46"/>
        <v/>
      </c>
      <c r="H335" s="12" t="str">
        <f t="shared" ca="1" si="47"/>
        <v/>
      </c>
      <c r="I335" s="14"/>
      <c r="J335" s="1" t="str">
        <f>IF(COUNTA(A335:F2622)=0,"",IF(#REF!="","BRAK PROTOKOŁU","DODANY"))</f>
        <v/>
      </c>
      <c r="K335" s="1"/>
      <c r="M335" s="13" t="str" cm="1">
        <f t="array" ref="M335">IF($A335="","",IFERROR(TRANSPOSE(_xlfn._xlws.FILTER(Lokale!$C$3:$C$91,Lokale!$B$3:$B$91=$A335)),""))</f>
        <v/>
      </c>
      <c r="AJ335" s="13" t="str" cm="1">
        <f t="array" ref="AJ335">IF($C335="","",IFERROR(TRANSPOSE(_xlfn._xlws.FILTER(Listy!$D$2:$D$60,Listy!$C$2:$C$60=$C335)),""))</f>
        <v/>
      </c>
    </row>
    <row r="336" spans="7:36" ht="25" customHeight="1" x14ac:dyDescent="0.35">
      <c r="G336" s="15" t="str">
        <f t="shared" si="46"/>
        <v/>
      </c>
      <c r="H336" s="12" t="str">
        <f t="shared" ca="1" si="47"/>
        <v/>
      </c>
      <c r="I336" s="14"/>
      <c r="J336" s="1" t="str">
        <f>IF(COUNTA(A336:F2623)=0,"",IF(#REF!="","BRAK PROTOKOŁU","DODANY"))</f>
        <v/>
      </c>
      <c r="K336" s="1"/>
      <c r="M336" s="13" t="str" cm="1">
        <f t="array" ref="M336">IF($A336="","",IFERROR(TRANSPOSE(_xlfn._xlws.FILTER(Lokale!$C$3:$C$91,Lokale!$B$3:$B$91=$A336)),""))</f>
        <v/>
      </c>
      <c r="AJ336" s="13" t="str" cm="1">
        <f t="array" ref="AJ336">IF($C336="","",IFERROR(TRANSPOSE(_xlfn._xlws.FILTER(Listy!$D$2:$D$60,Listy!$C$2:$C$60=$C336)),""))</f>
        <v/>
      </c>
    </row>
    <row r="337" spans="7:36" ht="25" customHeight="1" x14ac:dyDescent="0.35">
      <c r="G337" s="15" t="str">
        <f t="shared" si="46"/>
        <v/>
      </c>
      <c r="H337" s="12" t="str">
        <f t="shared" ca="1" si="47"/>
        <v/>
      </c>
      <c r="I337" s="14"/>
      <c r="J337" s="1" t="str">
        <f>IF(COUNTA(A337:F2624)=0,"",IF(#REF!="","BRAK PROTOKOŁU","DODANY"))</f>
        <v/>
      </c>
      <c r="K337" s="1"/>
      <c r="M337" s="13" t="str" cm="1">
        <f t="array" ref="M337">IF($A337="","",IFERROR(TRANSPOSE(_xlfn._xlws.FILTER(Lokale!$C$3:$C$91,Lokale!$B$3:$B$91=$A337)),""))</f>
        <v/>
      </c>
      <c r="AJ337" s="13" t="str" cm="1">
        <f t="array" ref="AJ337">IF($C337="","",IFERROR(TRANSPOSE(_xlfn._xlws.FILTER(Listy!$D$2:$D$60,Listy!$C$2:$C$60=$C337)),""))</f>
        <v/>
      </c>
    </row>
    <row r="338" spans="7:36" ht="25" customHeight="1" x14ac:dyDescent="0.35">
      <c r="G338" s="15" t="str">
        <f t="shared" si="46"/>
        <v/>
      </c>
      <c r="H338" s="12" t="str">
        <f t="shared" ca="1" si="47"/>
        <v/>
      </c>
      <c r="I338" s="14"/>
      <c r="J338" s="1" t="str">
        <f>IF(COUNTA(A338:F2625)=0,"",IF(#REF!="","BRAK PROTOKOŁU","DODANY"))</f>
        <v/>
      </c>
      <c r="K338" s="1"/>
      <c r="M338" s="13" t="str" cm="1">
        <f t="array" ref="M338">IF($A338="","",IFERROR(TRANSPOSE(_xlfn._xlws.FILTER(Lokale!$C$3:$C$91,Lokale!$B$3:$B$91=$A338)),""))</f>
        <v/>
      </c>
      <c r="AJ338" s="13" t="str" cm="1">
        <f t="array" ref="AJ338">IF($C338="","",IFERROR(TRANSPOSE(_xlfn._xlws.FILTER(Listy!$D$2:$D$60,Listy!$C$2:$C$60=$C338)),""))</f>
        <v/>
      </c>
    </row>
    <row r="339" spans="7:36" ht="25" customHeight="1" x14ac:dyDescent="0.35">
      <c r="G339" s="15" t="str">
        <f t="shared" si="46"/>
        <v/>
      </c>
      <c r="H339" s="12" t="str">
        <f t="shared" ca="1" si="47"/>
        <v/>
      </c>
      <c r="I339" s="14"/>
      <c r="J339" s="1" t="str">
        <f>IF(COUNTA(A339:F2626)=0,"",IF(#REF!="","BRAK PROTOKOŁU","DODANY"))</f>
        <v/>
      </c>
      <c r="K339" s="1"/>
      <c r="M339" s="13" t="str" cm="1">
        <f t="array" ref="M339">IF($A339="","",IFERROR(TRANSPOSE(_xlfn._xlws.FILTER(Lokale!$C$3:$C$91,Lokale!$B$3:$B$91=$A339)),""))</f>
        <v/>
      </c>
      <c r="AJ339" s="13" t="str" cm="1">
        <f t="array" ref="AJ339">IF($C339="","",IFERROR(TRANSPOSE(_xlfn._xlws.FILTER(Listy!$D$2:$D$60,Listy!$C$2:$C$60=$C339)),""))</f>
        <v/>
      </c>
    </row>
    <row r="340" spans="7:36" ht="25" customHeight="1" x14ac:dyDescent="0.35">
      <c r="G340" s="15" t="str">
        <f t="shared" si="46"/>
        <v/>
      </c>
      <c r="H340" s="12" t="str">
        <f t="shared" ca="1" si="47"/>
        <v/>
      </c>
      <c r="I340" s="14"/>
      <c r="J340" s="1" t="str">
        <f>IF(COUNTA(A340:F2627)=0,"",IF(#REF!="","BRAK PROTOKOŁU","DODANY"))</f>
        <v/>
      </c>
      <c r="K340" s="1"/>
      <c r="M340" s="13" t="str" cm="1">
        <f t="array" ref="M340">IF($A340="","",IFERROR(TRANSPOSE(_xlfn._xlws.FILTER(Lokale!$C$3:$C$91,Lokale!$B$3:$B$91=$A340)),""))</f>
        <v/>
      </c>
      <c r="AJ340" s="13" t="str" cm="1">
        <f t="array" ref="AJ340">IF($C340="","",IFERROR(TRANSPOSE(_xlfn._xlws.FILTER(Listy!$D$2:$D$60,Listy!$C$2:$C$60=$C340)),""))</f>
        <v/>
      </c>
    </row>
    <row r="341" spans="7:36" ht="25" customHeight="1" x14ac:dyDescent="0.35">
      <c r="G341" s="15" t="str">
        <f t="shared" si="46"/>
        <v/>
      </c>
      <c r="H341" s="12" t="str">
        <f t="shared" ca="1" si="47"/>
        <v/>
      </c>
      <c r="I341" s="14"/>
      <c r="J341" s="1" t="str">
        <f>IF(COUNTA(A341:F2628)=0,"",IF(#REF!="","BRAK PROTOKOŁU","DODANY"))</f>
        <v/>
      </c>
      <c r="K341" s="1"/>
      <c r="M341" s="13" t="str" cm="1">
        <f t="array" ref="M341">IF($A341="","",IFERROR(TRANSPOSE(_xlfn._xlws.FILTER(Lokale!$C$3:$C$91,Lokale!$B$3:$B$91=$A341)),""))</f>
        <v/>
      </c>
      <c r="AJ341" s="13" t="str" cm="1">
        <f t="array" ref="AJ341">IF($C341="","",IFERROR(TRANSPOSE(_xlfn._xlws.FILTER(Listy!$D$2:$D$60,Listy!$C$2:$C$60=$C341)),""))</f>
        <v/>
      </c>
    </row>
    <row r="342" spans="7:36" ht="25" customHeight="1" x14ac:dyDescent="0.35">
      <c r="G342" s="15" t="str">
        <f t="shared" si="46"/>
        <v/>
      </c>
      <c r="H342" s="12" t="str">
        <f t="shared" ca="1" si="47"/>
        <v/>
      </c>
      <c r="I342" s="14"/>
      <c r="J342" s="1" t="str">
        <f>IF(COUNTA(A342:F2629)=0,"",IF(#REF!="","BRAK PROTOKOŁU","DODANY"))</f>
        <v/>
      </c>
      <c r="K342" s="1"/>
      <c r="M342" s="13" t="str" cm="1">
        <f t="array" ref="M342">IF($A342="","",IFERROR(TRANSPOSE(_xlfn._xlws.FILTER(Lokale!$C$3:$C$91,Lokale!$B$3:$B$91=$A342)),""))</f>
        <v/>
      </c>
      <c r="AJ342" s="13" t="str" cm="1">
        <f t="array" ref="AJ342">IF($C342="","",IFERROR(TRANSPOSE(_xlfn._xlws.FILTER(Listy!$D$2:$D$60,Listy!$C$2:$C$60=$C342)),""))</f>
        <v/>
      </c>
    </row>
    <row r="343" spans="7:36" ht="25" customHeight="1" x14ac:dyDescent="0.35">
      <c r="G343" s="15" t="str">
        <f t="shared" si="46"/>
        <v/>
      </c>
      <c r="H343" s="12" t="str">
        <f t="shared" ca="1" si="47"/>
        <v/>
      </c>
      <c r="I343" s="14"/>
      <c r="J343" s="1" t="str">
        <f>IF(COUNTA(A343:F2630)=0,"",IF(#REF!="","BRAK PROTOKOŁU","DODANY"))</f>
        <v/>
      </c>
      <c r="K343" s="1"/>
      <c r="M343" s="13" t="str" cm="1">
        <f t="array" ref="M343">IF($A343="","",IFERROR(TRANSPOSE(_xlfn._xlws.FILTER(Lokale!$C$3:$C$91,Lokale!$B$3:$B$91=$A343)),""))</f>
        <v/>
      </c>
      <c r="AJ343" s="13" t="str" cm="1">
        <f t="array" ref="AJ343">IF($C343="","",IFERROR(TRANSPOSE(_xlfn._xlws.FILTER(Listy!$D$2:$D$60,Listy!$C$2:$C$60=$C343)),""))</f>
        <v/>
      </c>
    </row>
    <row r="344" spans="7:36" ht="25" customHeight="1" x14ac:dyDescent="0.35">
      <c r="G344" s="15" t="str">
        <f t="shared" si="46"/>
        <v/>
      </c>
      <c r="H344" s="12" t="str">
        <f t="shared" ca="1" si="47"/>
        <v/>
      </c>
      <c r="I344" s="14"/>
      <c r="J344" s="1" t="str">
        <f>IF(COUNTA(A344:F2631)=0,"",IF(#REF!="","BRAK PROTOKOŁU","DODANY"))</f>
        <v/>
      </c>
      <c r="K344" s="1"/>
      <c r="M344" s="13" t="str" cm="1">
        <f t="array" ref="M344">IF($A344="","",IFERROR(TRANSPOSE(_xlfn._xlws.FILTER(Lokale!$C$3:$C$91,Lokale!$B$3:$B$91=$A344)),""))</f>
        <v/>
      </c>
      <c r="AJ344" s="13" t="str" cm="1">
        <f t="array" ref="AJ344">IF($C344="","",IFERROR(TRANSPOSE(_xlfn._xlws.FILTER(Listy!$D$2:$D$60,Listy!$C$2:$C$60=$C344)),""))</f>
        <v/>
      </c>
    </row>
    <row r="345" spans="7:36" ht="25" customHeight="1" x14ac:dyDescent="0.35">
      <c r="G345" s="15" t="str">
        <f t="shared" si="46"/>
        <v/>
      </c>
      <c r="H345" s="12" t="str">
        <f t="shared" ca="1" si="47"/>
        <v/>
      </c>
      <c r="I345" s="14"/>
      <c r="J345" s="1" t="str">
        <f>IF(COUNTA(A345:F2632)=0,"",IF(#REF!="","BRAK PROTOKOŁU","DODANY"))</f>
        <v/>
      </c>
      <c r="K345" s="1"/>
      <c r="M345" s="13" t="str" cm="1">
        <f t="array" ref="M345">IF($A345="","",IFERROR(TRANSPOSE(_xlfn._xlws.FILTER(Lokale!$C$3:$C$91,Lokale!$B$3:$B$91=$A345)),""))</f>
        <v/>
      </c>
      <c r="AJ345" s="13" t="str" cm="1">
        <f t="array" ref="AJ345">IF($C345="","",IFERROR(TRANSPOSE(_xlfn._xlws.FILTER(Listy!$D$2:$D$60,Listy!$C$2:$C$60=$C345)),""))</f>
        <v/>
      </c>
    </row>
    <row r="346" spans="7:36" ht="25" customHeight="1" x14ac:dyDescent="0.35">
      <c r="G346" s="15" t="str">
        <f t="shared" si="46"/>
        <v/>
      </c>
      <c r="H346" s="12" t="str">
        <f t="shared" ca="1" si="47"/>
        <v/>
      </c>
      <c r="I346" s="14"/>
      <c r="J346" s="1" t="str">
        <f>IF(COUNTA(A346:F2633)=0,"",IF(#REF!="","BRAK PROTOKOŁU","DODANY"))</f>
        <v/>
      </c>
      <c r="K346" s="1"/>
      <c r="M346" s="13" t="str" cm="1">
        <f t="array" ref="M346">IF($A346="","",IFERROR(TRANSPOSE(_xlfn._xlws.FILTER(Lokale!$C$3:$C$91,Lokale!$B$3:$B$91=$A346)),""))</f>
        <v/>
      </c>
      <c r="AJ346" s="13" t="str" cm="1">
        <f t="array" ref="AJ346">IF($C346="","",IFERROR(TRANSPOSE(_xlfn._xlws.FILTER(Listy!$D$2:$D$60,Listy!$C$2:$C$60=$C346)),""))</f>
        <v/>
      </c>
    </row>
    <row r="347" spans="7:36" ht="25" customHeight="1" x14ac:dyDescent="0.35">
      <c r="G347" s="15" t="str">
        <f t="shared" si="46"/>
        <v/>
      </c>
      <c r="H347" s="12" t="str">
        <f t="shared" ca="1" si="47"/>
        <v/>
      </c>
      <c r="I347" s="14"/>
      <c r="J347" s="1" t="str">
        <f>IF(COUNTA(A347:F2634)=0,"",IF(#REF!="","BRAK PROTOKOŁU","DODANY"))</f>
        <v/>
      </c>
      <c r="K347" s="1"/>
      <c r="M347" s="13" t="str" cm="1">
        <f t="array" ref="M347">IF($A347="","",IFERROR(TRANSPOSE(_xlfn._xlws.FILTER(Lokale!$C$3:$C$91,Lokale!$B$3:$B$91=$A347)),""))</f>
        <v/>
      </c>
      <c r="AJ347" s="13" t="str" cm="1">
        <f t="array" ref="AJ347">IF($C347="","",IFERROR(TRANSPOSE(_xlfn._xlws.FILTER(Listy!$D$2:$D$60,Listy!$C$2:$C$60=$C347)),""))</f>
        <v/>
      </c>
    </row>
    <row r="348" spans="7:36" ht="25" customHeight="1" x14ac:dyDescent="0.35">
      <c r="G348" s="15" t="str">
        <f t="shared" si="46"/>
        <v/>
      </c>
      <c r="H348" s="12" t="str">
        <f t="shared" ca="1" si="47"/>
        <v/>
      </c>
      <c r="I348" s="14"/>
      <c r="J348" s="1" t="str">
        <f>IF(COUNTA(A348:F2635)=0,"",IF(#REF!="","BRAK PROTOKOŁU","DODANY"))</f>
        <v/>
      </c>
      <c r="K348" s="1"/>
      <c r="M348" s="13" t="str" cm="1">
        <f t="array" ref="M348">IF($A348="","",IFERROR(TRANSPOSE(_xlfn._xlws.FILTER(Lokale!$C$3:$C$91,Lokale!$B$3:$B$91=$A348)),""))</f>
        <v/>
      </c>
      <c r="AJ348" s="13" t="str" cm="1">
        <f t="array" ref="AJ348">IF($C348="","",IFERROR(TRANSPOSE(_xlfn._xlws.FILTER(Listy!$D$2:$D$60,Listy!$C$2:$C$60=$C348)),""))</f>
        <v/>
      </c>
    </row>
    <row r="349" spans="7:36" ht="25" customHeight="1" x14ac:dyDescent="0.35">
      <c r="G349" s="15" t="str">
        <f t="shared" si="46"/>
        <v/>
      </c>
      <c r="H349" s="12" t="str">
        <f t="shared" ca="1" si="47"/>
        <v/>
      </c>
      <c r="I349" s="14"/>
      <c r="J349" s="1" t="str">
        <f>IF(COUNTA(A349:F2636)=0,"",IF(#REF!="","BRAK PROTOKOŁU","DODANY"))</f>
        <v/>
      </c>
      <c r="K349" s="1"/>
      <c r="M349" s="13" t="str" cm="1">
        <f t="array" ref="M349">IF($A349="","",IFERROR(TRANSPOSE(_xlfn._xlws.FILTER(Lokale!$C$3:$C$91,Lokale!$B$3:$B$91=$A349)),""))</f>
        <v/>
      </c>
      <c r="AJ349" s="13" t="str" cm="1">
        <f t="array" ref="AJ349">IF($C349="","",IFERROR(TRANSPOSE(_xlfn._xlws.FILTER(Listy!$D$2:$D$60,Listy!$C$2:$C$60=$C349)),""))</f>
        <v/>
      </c>
    </row>
    <row r="350" spans="7:36" ht="25" customHeight="1" x14ac:dyDescent="0.35">
      <c r="G350" s="15" t="str">
        <f t="shared" si="46"/>
        <v/>
      </c>
      <c r="H350" s="12" t="str">
        <f t="shared" ca="1" si="47"/>
        <v/>
      </c>
      <c r="I350" s="14"/>
      <c r="J350" s="1" t="str">
        <f>IF(COUNTA(A350:F2637)=0,"",IF(#REF!="","BRAK PROTOKOŁU","DODANY"))</f>
        <v/>
      </c>
      <c r="K350" s="1"/>
      <c r="M350" s="13" t="str" cm="1">
        <f t="array" ref="M350">IF($A350="","",IFERROR(TRANSPOSE(_xlfn._xlws.FILTER(Lokale!$C$3:$C$91,Lokale!$B$3:$B$91=$A350)),""))</f>
        <v/>
      </c>
      <c r="AJ350" s="13" t="str" cm="1">
        <f t="array" ref="AJ350">IF($C350="","",IFERROR(TRANSPOSE(_xlfn._xlws.FILTER(Listy!$D$2:$D$60,Listy!$C$2:$C$60=$C350)),""))</f>
        <v/>
      </c>
    </row>
    <row r="351" spans="7:36" ht="25" customHeight="1" x14ac:dyDescent="0.35">
      <c r="G351" s="15" t="str">
        <f t="shared" si="46"/>
        <v/>
      </c>
      <c r="H351" s="12" t="str">
        <f t="shared" ca="1" si="47"/>
        <v/>
      </c>
      <c r="I351" s="14"/>
      <c r="J351" s="1" t="str">
        <f>IF(COUNTA(A351:F2638)=0,"",IF(#REF!="","BRAK PROTOKOŁU","DODANY"))</f>
        <v/>
      </c>
      <c r="K351" s="1"/>
      <c r="M351" s="13" t="str" cm="1">
        <f t="array" ref="M351">IF($A351="","",IFERROR(TRANSPOSE(_xlfn._xlws.FILTER(Lokale!$C$3:$C$91,Lokale!$B$3:$B$91=$A351)),""))</f>
        <v/>
      </c>
      <c r="AJ351" s="13" t="str" cm="1">
        <f t="array" ref="AJ351">IF($C351="","",IFERROR(TRANSPOSE(_xlfn._xlws.FILTER(Listy!$D$2:$D$60,Listy!$C$2:$C$60=$C351)),""))</f>
        <v/>
      </c>
    </row>
    <row r="352" spans="7:36" ht="25" customHeight="1" x14ac:dyDescent="0.35">
      <c r="G352" s="15" t="str">
        <f t="shared" si="46"/>
        <v/>
      </c>
      <c r="H352" s="12" t="str">
        <f t="shared" ca="1" si="47"/>
        <v/>
      </c>
      <c r="I352" s="14"/>
      <c r="J352" s="1" t="str">
        <f>IF(COUNTA(A352:F2639)=0,"",IF(#REF!="","BRAK PROTOKOŁU","DODANY"))</f>
        <v/>
      </c>
      <c r="K352" s="1"/>
      <c r="M352" s="13" t="str" cm="1">
        <f t="array" ref="M352">IF($A352="","",IFERROR(TRANSPOSE(_xlfn._xlws.FILTER(Lokale!$C$3:$C$91,Lokale!$B$3:$B$91=$A352)),""))</f>
        <v/>
      </c>
      <c r="AJ352" s="13" t="str" cm="1">
        <f t="array" ref="AJ352">IF($C352="","",IFERROR(TRANSPOSE(_xlfn._xlws.FILTER(Listy!$D$2:$D$60,Listy!$C$2:$C$60=$C352)),""))</f>
        <v/>
      </c>
    </row>
    <row r="353" spans="7:36" ht="25" customHeight="1" x14ac:dyDescent="0.35">
      <c r="G353" s="15" t="str">
        <f t="shared" si="46"/>
        <v/>
      </c>
      <c r="H353" s="12" t="str">
        <f t="shared" ca="1" si="47"/>
        <v/>
      </c>
      <c r="I353" s="14"/>
      <c r="J353" s="1" t="str">
        <f>IF(COUNTA(A353:F2640)=0,"",IF(#REF!="","BRAK PROTOKOŁU","DODANY"))</f>
        <v/>
      </c>
      <c r="K353" s="1"/>
      <c r="M353" s="13" t="str" cm="1">
        <f t="array" ref="M353">IF($A353="","",IFERROR(TRANSPOSE(_xlfn._xlws.FILTER(Lokale!$C$3:$C$91,Lokale!$B$3:$B$91=$A353)),""))</f>
        <v/>
      </c>
      <c r="AJ353" s="13" t="str" cm="1">
        <f t="array" ref="AJ353">IF($C353="","",IFERROR(TRANSPOSE(_xlfn._xlws.FILTER(Listy!$D$2:$D$60,Listy!$C$2:$C$60=$C353)),""))</f>
        <v/>
      </c>
    </row>
    <row r="354" spans="7:36" ht="25" customHeight="1" x14ac:dyDescent="0.35">
      <c r="G354" s="15" t="str">
        <f t="shared" ref="G354:G417" si="48">IF(OR(E354="",F354=""),"",DATE(YEAR(E354),MONTH(E354)+F354,DAY(E354)))</f>
        <v/>
      </c>
      <c r="H354" s="12" t="str">
        <f t="shared" ref="H354:H417" ca="1" si="49">IF(G354="","",IF(G354&lt;TODAY(),"PO TERMINIE",IF(G354&lt;=TODAY()+14,"DO WYKONANIA","OK")))</f>
        <v/>
      </c>
      <c r="I354" s="14"/>
      <c r="J354" s="1" t="str">
        <f>IF(COUNTA(A354:F2641)=0,"",IF(#REF!="","BRAK PROTOKOŁU","DODANY"))</f>
        <v/>
      </c>
      <c r="K354" s="1"/>
      <c r="M354" s="13" t="str" cm="1">
        <f t="array" ref="M354">IF($A354="","",IFERROR(TRANSPOSE(_xlfn._xlws.FILTER(Lokale!$C$3:$C$91,Lokale!$B$3:$B$91=$A354)),""))</f>
        <v/>
      </c>
      <c r="AJ354" s="13" t="str" cm="1">
        <f t="array" ref="AJ354">IF($C354="","",IFERROR(TRANSPOSE(_xlfn._xlws.FILTER(Listy!$D$2:$D$60,Listy!$C$2:$C$60=$C354)),""))</f>
        <v/>
      </c>
    </row>
    <row r="355" spans="7:36" ht="25" customHeight="1" x14ac:dyDescent="0.35">
      <c r="G355" s="15" t="str">
        <f t="shared" si="48"/>
        <v/>
      </c>
      <c r="H355" s="12" t="str">
        <f t="shared" ca="1" si="49"/>
        <v/>
      </c>
      <c r="I355" s="14"/>
      <c r="J355" s="1" t="str">
        <f>IF(COUNTA(A355:F2642)=0,"",IF(#REF!="","BRAK PROTOKOŁU","DODANY"))</f>
        <v/>
      </c>
      <c r="K355" s="1"/>
      <c r="M355" s="13" t="str" cm="1">
        <f t="array" ref="M355">IF($A355="","",IFERROR(TRANSPOSE(_xlfn._xlws.FILTER(Lokale!$C$3:$C$91,Lokale!$B$3:$B$91=$A355)),""))</f>
        <v/>
      </c>
      <c r="AJ355" s="13" t="str" cm="1">
        <f t="array" ref="AJ355">IF($C355="","",IFERROR(TRANSPOSE(_xlfn._xlws.FILTER(Listy!$D$2:$D$60,Listy!$C$2:$C$60=$C355)),""))</f>
        <v/>
      </c>
    </row>
    <row r="356" spans="7:36" ht="25" customHeight="1" x14ac:dyDescent="0.35">
      <c r="G356" s="15" t="str">
        <f t="shared" si="48"/>
        <v/>
      </c>
      <c r="H356" s="12" t="str">
        <f t="shared" ca="1" si="49"/>
        <v/>
      </c>
      <c r="I356" s="14"/>
      <c r="J356" s="1" t="str">
        <f>IF(COUNTA(A356:F2643)=0,"",IF(#REF!="","BRAK PROTOKOŁU","DODANY"))</f>
        <v/>
      </c>
      <c r="K356" s="1"/>
      <c r="M356" s="13" t="str" cm="1">
        <f t="array" ref="M356">IF($A356="","",IFERROR(TRANSPOSE(_xlfn._xlws.FILTER(Lokale!$C$3:$C$91,Lokale!$B$3:$B$91=$A356)),""))</f>
        <v/>
      </c>
      <c r="AJ356" s="13" t="str" cm="1">
        <f t="array" ref="AJ356">IF($C356="","",IFERROR(TRANSPOSE(_xlfn._xlws.FILTER(Listy!$D$2:$D$60,Listy!$C$2:$C$60=$C356)),""))</f>
        <v/>
      </c>
    </row>
    <row r="357" spans="7:36" ht="25" customHeight="1" x14ac:dyDescent="0.35">
      <c r="G357" s="15" t="str">
        <f t="shared" si="48"/>
        <v/>
      </c>
      <c r="H357" s="12" t="str">
        <f t="shared" ca="1" si="49"/>
        <v/>
      </c>
      <c r="I357" s="14"/>
      <c r="J357" s="1" t="str">
        <f>IF(COUNTA(A357:F2644)=0,"",IF(#REF!="","BRAK PROTOKOŁU","DODANY"))</f>
        <v/>
      </c>
      <c r="K357" s="1"/>
      <c r="M357" s="13" t="str" cm="1">
        <f t="array" ref="M357">IF($A357="","",IFERROR(TRANSPOSE(_xlfn._xlws.FILTER(Lokale!$C$3:$C$91,Lokale!$B$3:$B$91=$A357)),""))</f>
        <v/>
      </c>
      <c r="AJ357" s="13" t="str" cm="1">
        <f t="array" ref="AJ357">IF($C357="","",IFERROR(TRANSPOSE(_xlfn._xlws.FILTER(Listy!$D$2:$D$60,Listy!$C$2:$C$60=$C357)),""))</f>
        <v/>
      </c>
    </row>
    <row r="358" spans="7:36" ht="25" customHeight="1" x14ac:dyDescent="0.35">
      <c r="G358" s="15" t="str">
        <f t="shared" si="48"/>
        <v/>
      </c>
      <c r="H358" s="12" t="str">
        <f t="shared" ca="1" si="49"/>
        <v/>
      </c>
      <c r="I358" s="14"/>
      <c r="J358" s="1" t="str">
        <f>IF(COUNTA(A358:F2645)=0,"",IF(#REF!="","BRAK PROTOKOŁU","DODANY"))</f>
        <v/>
      </c>
      <c r="K358" s="1"/>
      <c r="M358" s="13" t="str" cm="1">
        <f t="array" ref="M358">IF($A358="","",IFERROR(TRANSPOSE(_xlfn._xlws.FILTER(Lokale!$C$3:$C$91,Lokale!$B$3:$B$91=$A358)),""))</f>
        <v/>
      </c>
      <c r="AJ358" s="13" t="str" cm="1">
        <f t="array" ref="AJ358">IF($C358="","",IFERROR(TRANSPOSE(_xlfn._xlws.FILTER(Listy!$D$2:$D$60,Listy!$C$2:$C$60=$C358)),""))</f>
        <v/>
      </c>
    </row>
    <row r="359" spans="7:36" ht="25" customHeight="1" x14ac:dyDescent="0.35">
      <c r="G359" s="15" t="str">
        <f t="shared" si="48"/>
        <v/>
      </c>
      <c r="H359" s="12" t="str">
        <f t="shared" ca="1" si="49"/>
        <v/>
      </c>
      <c r="I359" s="14"/>
      <c r="J359" s="1" t="str">
        <f>IF(COUNTA(A359:F2646)=0,"",IF(#REF!="","BRAK PROTOKOŁU","DODANY"))</f>
        <v/>
      </c>
      <c r="K359" s="1"/>
      <c r="M359" s="13" t="str" cm="1">
        <f t="array" ref="M359">IF($A359="","",IFERROR(TRANSPOSE(_xlfn._xlws.FILTER(Lokale!$C$3:$C$91,Lokale!$B$3:$B$91=$A359)),""))</f>
        <v/>
      </c>
      <c r="AJ359" s="13" t="str" cm="1">
        <f t="array" ref="AJ359">IF($C359="","",IFERROR(TRANSPOSE(_xlfn._xlws.FILTER(Listy!$D$2:$D$60,Listy!$C$2:$C$60=$C359)),""))</f>
        <v/>
      </c>
    </row>
    <row r="360" spans="7:36" ht="25" customHeight="1" x14ac:dyDescent="0.35">
      <c r="G360" s="15" t="str">
        <f t="shared" si="48"/>
        <v/>
      </c>
      <c r="H360" s="12" t="str">
        <f t="shared" ca="1" si="49"/>
        <v/>
      </c>
      <c r="I360" s="14"/>
      <c r="J360" s="1" t="str">
        <f>IF(COUNTA(A360:F2647)=0,"",IF(#REF!="","BRAK PROTOKOŁU","DODANY"))</f>
        <v/>
      </c>
      <c r="K360" s="1"/>
      <c r="M360" s="13" t="str" cm="1">
        <f t="array" ref="M360">IF($A360="","",IFERROR(TRANSPOSE(_xlfn._xlws.FILTER(Lokale!$C$3:$C$91,Lokale!$B$3:$B$91=$A360)),""))</f>
        <v/>
      </c>
      <c r="AJ360" s="13" t="str" cm="1">
        <f t="array" ref="AJ360">IF($C360="","",IFERROR(TRANSPOSE(_xlfn._xlws.FILTER(Listy!$D$2:$D$60,Listy!$C$2:$C$60=$C360)),""))</f>
        <v/>
      </c>
    </row>
    <row r="361" spans="7:36" ht="25" customHeight="1" x14ac:dyDescent="0.35">
      <c r="G361" s="15" t="str">
        <f t="shared" si="48"/>
        <v/>
      </c>
      <c r="H361" s="12" t="str">
        <f t="shared" ca="1" si="49"/>
        <v/>
      </c>
      <c r="I361" s="14"/>
      <c r="J361" s="1" t="str">
        <f>IF(COUNTA(A361:F2648)=0,"",IF(#REF!="","BRAK PROTOKOŁU","DODANY"))</f>
        <v/>
      </c>
      <c r="K361" s="1"/>
      <c r="M361" s="13" t="str" cm="1">
        <f t="array" ref="M361">IF($A361="","",IFERROR(TRANSPOSE(_xlfn._xlws.FILTER(Lokale!$C$3:$C$91,Lokale!$B$3:$B$91=$A361)),""))</f>
        <v/>
      </c>
      <c r="AJ361" s="13" t="str" cm="1">
        <f t="array" ref="AJ361">IF($C361="","",IFERROR(TRANSPOSE(_xlfn._xlws.FILTER(Listy!$D$2:$D$60,Listy!$C$2:$C$60=$C361)),""))</f>
        <v/>
      </c>
    </row>
    <row r="362" spans="7:36" ht="25" customHeight="1" x14ac:dyDescent="0.35">
      <c r="G362" s="15" t="str">
        <f t="shared" si="48"/>
        <v/>
      </c>
      <c r="H362" s="12" t="str">
        <f t="shared" ca="1" si="49"/>
        <v/>
      </c>
      <c r="I362" s="14"/>
      <c r="J362" s="1" t="str">
        <f>IF(COUNTA(A362:F2649)=0,"",IF(#REF!="","BRAK PROTOKOŁU","DODANY"))</f>
        <v/>
      </c>
      <c r="K362" s="1"/>
      <c r="M362" s="13" t="str" cm="1">
        <f t="array" ref="M362">IF($A362="","",IFERROR(TRANSPOSE(_xlfn._xlws.FILTER(Lokale!$C$3:$C$91,Lokale!$B$3:$B$91=$A362)),""))</f>
        <v/>
      </c>
      <c r="AJ362" s="13" t="str" cm="1">
        <f t="array" ref="AJ362">IF($C362="","",IFERROR(TRANSPOSE(_xlfn._xlws.FILTER(Listy!$D$2:$D$60,Listy!$C$2:$C$60=$C362)),""))</f>
        <v/>
      </c>
    </row>
    <row r="363" spans="7:36" ht="25" customHeight="1" x14ac:dyDescent="0.35">
      <c r="G363" s="15" t="str">
        <f t="shared" si="48"/>
        <v/>
      </c>
      <c r="H363" s="12" t="str">
        <f t="shared" ca="1" si="49"/>
        <v/>
      </c>
      <c r="I363" s="14"/>
      <c r="J363" s="1" t="str">
        <f>IF(COUNTA(A363:F2650)=0,"",IF(#REF!="","BRAK PROTOKOŁU","DODANY"))</f>
        <v/>
      </c>
      <c r="K363" s="1"/>
      <c r="M363" s="13" t="str" cm="1">
        <f t="array" ref="M363">IF($A363="","",IFERROR(TRANSPOSE(_xlfn._xlws.FILTER(Lokale!$C$3:$C$91,Lokale!$B$3:$B$91=$A363)),""))</f>
        <v/>
      </c>
      <c r="AJ363" s="13" t="str" cm="1">
        <f t="array" ref="AJ363">IF($C363="","",IFERROR(TRANSPOSE(_xlfn._xlws.FILTER(Listy!$D$2:$D$60,Listy!$C$2:$C$60=$C363)),""))</f>
        <v/>
      </c>
    </row>
    <row r="364" spans="7:36" ht="25" customHeight="1" x14ac:dyDescent="0.35">
      <c r="G364" s="15" t="str">
        <f t="shared" si="48"/>
        <v/>
      </c>
      <c r="H364" s="12" t="str">
        <f t="shared" ca="1" si="49"/>
        <v/>
      </c>
      <c r="I364" s="14"/>
      <c r="J364" s="1" t="str">
        <f>IF(COUNTA(A364:F2651)=0,"",IF(#REF!="","BRAK PROTOKOŁU","DODANY"))</f>
        <v/>
      </c>
      <c r="K364" s="1"/>
      <c r="M364" s="13" t="str" cm="1">
        <f t="array" ref="M364">IF($A364="","",IFERROR(TRANSPOSE(_xlfn._xlws.FILTER(Lokale!$C$3:$C$91,Lokale!$B$3:$B$91=$A364)),""))</f>
        <v/>
      </c>
      <c r="AJ364" s="13" t="str" cm="1">
        <f t="array" ref="AJ364">IF($C364="","",IFERROR(TRANSPOSE(_xlfn._xlws.FILTER(Listy!$D$2:$D$60,Listy!$C$2:$C$60=$C364)),""))</f>
        <v/>
      </c>
    </row>
    <row r="365" spans="7:36" ht="25" customHeight="1" x14ac:dyDescent="0.35">
      <c r="G365" s="15" t="str">
        <f t="shared" si="48"/>
        <v/>
      </c>
      <c r="H365" s="12" t="str">
        <f t="shared" ca="1" si="49"/>
        <v/>
      </c>
      <c r="I365" s="14"/>
      <c r="J365" s="1" t="str">
        <f>IF(COUNTA(A365:F2652)=0,"",IF(#REF!="","BRAK PROTOKOŁU","DODANY"))</f>
        <v/>
      </c>
      <c r="K365" s="1"/>
      <c r="M365" s="13" t="str" cm="1">
        <f t="array" ref="M365">IF($A365="","",IFERROR(TRANSPOSE(_xlfn._xlws.FILTER(Lokale!$C$3:$C$91,Lokale!$B$3:$B$91=$A365)),""))</f>
        <v/>
      </c>
      <c r="AJ365" s="13" t="str" cm="1">
        <f t="array" ref="AJ365">IF($C365="","",IFERROR(TRANSPOSE(_xlfn._xlws.FILTER(Listy!$D$2:$D$60,Listy!$C$2:$C$60=$C365)),""))</f>
        <v/>
      </c>
    </row>
    <row r="366" spans="7:36" ht="25" customHeight="1" x14ac:dyDescent="0.35">
      <c r="G366" s="15" t="str">
        <f t="shared" si="48"/>
        <v/>
      </c>
      <c r="H366" s="12" t="str">
        <f t="shared" ca="1" si="49"/>
        <v/>
      </c>
      <c r="I366" s="14"/>
      <c r="J366" s="1" t="str">
        <f>IF(COUNTA(A366:F2653)=0,"",IF(#REF!="","BRAK PROTOKOŁU","DODANY"))</f>
        <v/>
      </c>
      <c r="K366" s="1"/>
      <c r="M366" s="13" t="str" cm="1">
        <f t="array" ref="M366">IF($A366="","",IFERROR(TRANSPOSE(_xlfn._xlws.FILTER(Lokale!$C$3:$C$91,Lokale!$B$3:$B$91=$A366)),""))</f>
        <v/>
      </c>
      <c r="AJ366" s="13" t="str" cm="1">
        <f t="array" ref="AJ366">IF($C366="","",IFERROR(TRANSPOSE(_xlfn._xlws.FILTER(Listy!$D$2:$D$60,Listy!$C$2:$C$60=$C366)),""))</f>
        <v/>
      </c>
    </row>
    <row r="367" spans="7:36" ht="25" customHeight="1" x14ac:dyDescent="0.35">
      <c r="G367" s="15" t="str">
        <f t="shared" si="48"/>
        <v/>
      </c>
      <c r="H367" s="12" t="str">
        <f t="shared" ca="1" si="49"/>
        <v/>
      </c>
      <c r="I367" s="14"/>
      <c r="J367" s="1" t="str">
        <f>IF(COUNTA(A367:F2654)=0,"",IF(#REF!="","BRAK PROTOKOŁU","DODANY"))</f>
        <v/>
      </c>
      <c r="K367" s="1"/>
      <c r="M367" s="13" t="str" cm="1">
        <f t="array" ref="M367">IF($A367="","",IFERROR(TRANSPOSE(_xlfn._xlws.FILTER(Lokale!$C$3:$C$91,Lokale!$B$3:$B$91=$A367)),""))</f>
        <v/>
      </c>
      <c r="AJ367" s="13" t="str" cm="1">
        <f t="array" ref="AJ367">IF($C367="","",IFERROR(TRANSPOSE(_xlfn._xlws.FILTER(Listy!$D$2:$D$60,Listy!$C$2:$C$60=$C367)),""))</f>
        <v/>
      </c>
    </row>
    <row r="368" spans="7:36" ht="25" customHeight="1" x14ac:dyDescent="0.35">
      <c r="G368" s="15" t="str">
        <f t="shared" si="48"/>
        <v/>
      </c>
      <c r="H368" s="12" t="str">
        <f t="shared" ca="1" si="49"/>
        <v/>
      </c>
      <c r="I368" s="14"/>
      <c r="J368" s="1" t="str">
        <f>IF(COUNTA(A368:F2655)=0,"",IF(#REF!="","BRAK PROTOKOŁU","DODANY"))</f>
        <v/>
      </c>
      <c r="K368" s="1"/>
      <c r="M368" s="13" t="str" cm="1">
        <f t="array" ref="M368">IF($A368="","",IFERROR(TRANSPOSE(_xlfn._xlws.FILTER(Lokale!$C$3:$C$91,Lokale!$B$3:$B$91=$A368)),""))</f>
        <v/>
      </c>
      <c r="AJ368" s="13" t="str" cm="1">
        <f t="array" ref="AJ368">IF($C368="","",IFERROR(TRANSPOSE(_xlfn._xlws.FILTER(Listy!$D$2:$D$60,Listy!$C$2:$C$60=$C368)),""))</f>
        <v/>
      </c>
    </row>
    <row r="369" spans="7:36" ht="25" customHeight="1" x14ac:dyDescent="0.35">
      <c r="G369" s="15" t="str">
        <f t="shared" si="48"/>
        <v/>
      </c>
      <c r="H369" s="12" t="str">
        <f t="shared" ca="1" si="49"/>
        <v/>
      </c>
      <c r="I369" s="14"/>
      <c r="J369" s="1" t="str">
        <f>IF(COUNTA(A369:F2656)=0,"",IF(#REF!="","BRAK PROTOKOŁU","DODANY"))</f>
        <v/>
      </c>
      <c r="K369" s="1"/>
      <c r="M369" s="13" t="str" cm="1">
        <f t="array" ref="M369">IF($A369="","",IFERROR(TRANSPOSE(_xlfn._xlws.FILTER(Lokale!$C$3:$C$91,Lokale!$B$3:$B$91=$A369)),""))</f>
        <v/>
      </c>
      <c r="AJ369" s="13" t="str" cm="1">
        <f t="array" ref="AJ369">IF($C369="","",IFERROR(TRANSPOSE(_xlfn._xlws.FILTER(Listy!$D$2:$D$60,Listy!$C$2:$C$60=$C369)),""))</f>
        <v/>
      </c>
    </row>
    <row r="370" spans="7:36" ht="25" customHeight="1" x14ac:dyDescent="0.35">
      <c r="G370" s="15" t="str">
        <f t="shared" si="48"/>
        <v/>
      </c>
      <c r="H370" s="12" t="str">
        <f t="shared" ca="1" si="49"/>
        <v/>
      </c>
      <c r="I370" s="14"/>
      <c r="J370" s="1" t="str">
        <f>IF(COUNTA(A370:F2657)=0,"",IF(#REF!="","BRAK PROTOKOŁU","DODANY"))</f>
        <v/>
      </c>
      <c r="K370" s="1"/>
      <c r="M370" s="13" t="str" cm="1">
        <f t="array" ref="M370">IF($A370="","",IFERROR(TRANSPOSE(_xlfn._xlws.FILTER(Lokale!$C$3:$C$91,Lokale!$B$3:$B$91=$A370)),""))</f>
        <v/>
      </c>
      <c r="AJ370" s="13" t="str" cm="1">
        <f t="array" ref="AJ370">IF($C370="","",IFERROR(TRANSPOSE(_xlfn._xlws.FILTER(Listy!$D$2:$D$60,Listy!$C$2:$C$60=$C370)),""))</f>
        <v/>
      </c>
    </row>
    <row r="371" spans="7:36" ht="25" customHeight="1" x14ac:dyDescent="0.35">
      <c r="G371" s="15" t="str">
        <f t="shared" si="48"/>
        <v/>
      </c>
      <c r="H371" s="12" t="str">
        <f t="shared" ca="1" si="49"/>
        <v/>
      </c>
      <c r="I371" s="14"/>
      <c r="J371" s="1" t="str">
        <f>IF(COUNTA(A371:F2658)=0,"",IF(#REF!="","BRAK PROTOKOŁU","DODANY"))</f>
        <v/>
      </c>
      <c r="K371" s="1"/>
      <c r="M371" s="13" t="str" cm="1">
        <f t="array" ref="M371">IF($A371="","",IFERROR(TRANSPOSE(_xlfn._xlws.FILTER(Lokale!$C$3:$C$91,Lokale!$B$3:$B$91=$A371)),""))</f>
        <v/>
      </c>
      <c r="AJ371" s="13" t="str" cm="1">
        <f t="array" ref="AJ371">IF($C371="","",IFERROR(TRANSPOSE(_xlfn._xlws.FILTER(Listy!$D$2:$D$60,Listy!$C$2:$C$60=$C371)),""))</f>
        <v/>
      </c>
    </row>
    <row r="372" spans="7:36" ht="25" customHeight="1" x14ac:dyDescent="0.35">
      <c r="G372" s="15" t="str">
        <f t="shared" si="48"/>
        <v/>
      </c>
      <c r="H372" s="12" t="str">
        <f t="shared" ca="1" si="49"/>
        <v/>
      </c>
      <c r="I372" s="14"/>
      <c r="J372" s="1" t="str">
        <f>IF(COUNTA(A372:F2659)=0,"",IF(#REF!="","BRAK PROTOKOŁU","DODANY"))</f>
        <v/>
      </c>
      <c r="K372" s="1"/>
      <c r="M372" s="13" t="str" cm="1">
        <f t="array" ref="M372">IF($A372="","",IFERROR(TRANSPOSE(_xlfn._xlws.FILTER(Lokale!$C$3:$C$91,Lokale!$B$3:$B$91=$A372)),""))</f>
        <v/>
      </c>
      <c r="AJ372" s="13" t="str" cm="1">
        <f t="array" ref="AJ372">IF($C372="","",IFERROR(TRANSPOSE(_xlfn._xlws.FILTER(Listy!$D$2:$D$60,Listy!$C$2:$C$60=$C372)),""))</f>
        <v/>
      </c>
    </row>
    <row r="373" spans="7:36" ht="25" customHeight="1" x14ac:dyDescent="0.35">
      <c r="G373" s="15" t="str">
        <f t="shared" si="48"/>
        <v/>
      </c>
      <c r="H373" s="12" t="str">
        <f t="shared" ca="1" si="49"/>
        <v/>
      </c>
      <c r="I373" s="14"/>
      <c r="J373" s="1" t="str">
        <f>IF(COUNTA(A373:F2660)=0,"",IF(#REF!="","BRAK PROTOKOŁU","DODANY"))</f>
        <v/>
      </c>
      <c r="K373" s="1"/>
      <c r="M373" s="13" t="str" cm="1">
        <f t="array" ref="M373">IF($A373="","",IFERROR(TRANSPOSE(_xlfn._xlws.FILTER(Lokale!$C$3:$C$91,Lokale!$B$3:$B$91=$A373)),""))</f>
        <v/>
      </c>
      <c r="AJ373" s="13" t="str" cm="1">
        <f t="array" ref="AJ373">IF($C373="","",IFERROR(TRANSPOSE(_xlfn._xlws.FILTER(Listy!$D$2:$D$60,Listy!$C$2:$C$60=$C373)),""))</f>
        <v/>
      </c>
    </row>
    <row r="374" spans="7:36" ht="25" customHeight="1" x14ac:dyDescent="0.35">
      <c r="G374" s="15" t="str">
        <f t="shared" si="48"/>
        <v/>
      </c>
      <c r="H374" s="12" t="str">
        <f t="shared" ca="1" si="49"/>
        <v/>
      </c>
      <c r="I374" s="14"/>
      <c r="J374" s="1" t="str">
        <f>IF(COUNTA(A374:F2661)=0,"",IF(#REF!="","BRAK PROTOKOŁU","DODANY"))</f>
        <v/>
      </c>
      <c r="K374" s="1"/>
      <c r="M374" s="13" t="str" cm="1">
        <f t="array" ref="M374">IF($A374="","",IFERROR(TRANSPOSE(_xlfn._xlws.FILTER(Lokale!$C$3:$C$91,Lokale!$B$3:$B$91=$A374)),""))</f>
        <v/>
      </c>
      <c r="AJ374" s="13" t="str" cm="1">
        <f t="array" ref="AJ374">IF($C374="","",IFERROR(TRANSPOSE(_xlfn._xlws.FILTER(Listy!$D$2:$D$60,Listy!$C$2:$C$60=$C374)),""))</f>
        <v/>
      </c>
    </row>
    <row r="375" spans="7:36" ht="25" customHeight="1" x14ac:dyDescent="0.35">
      <c r="G375" s="15" t="str">
        <f t="shared" si="48"/>
        <v/>
      </c>
      <c r="H375" s="12" t="str">
        <f t="shared" ca="1" si="49"/>
        <v/>
      </c>
      <c r="I375" s="14"/>
      <c r="J375" s="1" t="str">
        <f>IF(COUNTA(A375:F2662)=0,"",IF(#REF!="","BRAK PROTOKOŁU","DODANY"))</f>
        <v/>
      </c>
      <c r="K375" s="1"/>
      <c r="M375" s="13" t="str" cm="1">
        <f t="array" ref="M375">IF($A375="","",IFERROR(TRANSPOSE(_xlfn._xlws.FILTER(Lokale!$C$3:$C$91,Lokale!$B$3:$B$91=$A375)),""))</f>
        <v/>
      </c>
      <c r="AJ375" s="13" t="str" cm="1">
        <f t="array" ref="AJ375">IF($C375="","",IFERROR(TRANSPOSE(_xlfn._xlws.FILTER(Listy!$D$2:$D$60,Listy!$C$2:$C$60=$C375)),""))</f>
        <v/>
      </c>
    </row>
    <row r="376" spans="7:36" ht="25" customHeight="1" x14ac:dyDescent="0.35">
      <c r="G376" s="15" t="str">
        <f t="shared" si="48"/>
        <v/>
      </c>
      <c r="H376" s="12" t="str">
        <f t="shared" ca="1" si="49"/>
        <v/>
      </c>
      <c r="I376" s="14"/>
      <c r="J376" s="1" t="str">
        <f>IF(COUNTA(A376:F2663)=0,"",IF(#REF!="","BRAK PROTOKOŁU","DODANY"))</f>
        <v/>
      </c>
      <c r="K376" s="1"/>
      <c r="M376" s="13" t="str" cm="1">
        <f t="array" ref="M376">IF($A376="","",IFERROR(TRANSPOSE(_xlfn._xlws.FILTER(Lokale!$C$3:$C$91,Lokale!$B$3:$B$91=$A376)),""))</f>
        <v/>
      </c>
      <c r="AJ376" s="13" t="str" cm="1">
        <f t="array" ref="AJ376">IF($C376="","",IFERROR(TRANSPOSE(_xlfn._xlws.FILTER(Listy!$D$2:$D$60,Listy!$C$2:$C$60=$C376)),""))</f>
        <v/>
      </c>
    </row>
    <row r="377" spans="7:36" ht="25" customHeight="1" x14ac:dyDescent="0.35">
      <c r="G377" s="15" t="str">
        <f t="shared" si="48"/>
        <v/>
      </c>
      <c r="H377" s="12" t="str">
        <f t="shared" ca="1" si="49"/>
        <v/>
      </c>
      <c r="I377" s="14"/>
      <c r="J377" s="1" t="str">
        <f>IF(COUNTA(A377:F2664)=0,"",IF(#REF!="","BRAK PROTOKOŁU","DODANY"))</f>
        <v/>
      </c>
      <c r="K377" s="1"/>
      <c r="M377" s="13" t="str" cm="1">
        <f t="array" ref="M377">IF($A377="","",IFERROR(TRANSPOSE(_xlfn._xlws.FILTER(Lokale!$C$3:$C$91,Lokale!$B$3:$B$91=$A377)),""))</f>
        <v/>
      </c>
      <c r="AJ377" s="13" t="str" cm="1">
        <f t="array" ref="AJ377">IF($C377="","",IFERROR(TRANSPOSE(_xlfn._xlws.FILTER(Listy!$D$2:$D$60,Listy!$C$2:$C$60=$C377)),""))</f>
        <v/>
      </c>
    </row>
    <row r="378" spans="7:36" ht="25" customHeight="1" x14ac:dyDescent="0.35">
      <c r="G378" s="15" t="str">
        <f t="shared" si="48"/>
        <v/>
      </c>
      <c r="H378" s="12" t="str">
        <f t="shared" ca="1" si="49"/>
        <v/>
      </c>
      <c r="I378" s="14"/>
      <c r="J378" s="1" t="str">
        <f>IF(COUNTA(A378:F2665)=0,"",IF(#REF!="","BRAK PROTOKOŁU","DODANY"))</f>
        <v/>
      </c>
      <c r="K378" s="1"/>
      <c r="M378" s="13" t="str" cm="1">
        <f t="array" ref="M378">IF($A378="","",IFERROR(TRANSPOSE(_xlfn._xlws.FILTER(Lokale!$C$3:$C$91,Lokale!$B$3:$B$91=$A378)),""))</f>
        <v/>
      </c>
      <c r="AJ378" s="13" t="str" cm="1">
        <f t="array" ref="AJ378">IF($C378="","",IFERROR(TRANSPOSE(_xlfn._xlws.FILTER(Listy!$D$2:$D$60,Listy!$C$2:$C$60=$C378)),""))</f>
        <v/>
      </c>
    </row>
    <row r="379" spans="7:36" ht="25" customHeight="1" x14ac:dyDescent="0.35">
      <c r="G379" s="15" t="str">
        <f t="shared" si="48"/>
        <v/>
      </c>
      <c r="H379" s="12" t="str">
        <f t="shared" ca="1" si="49"/>
        <v/>
      </c>
      <c r="I379" s="14"/>
      <c r="J379" s="1" t="str">
        <f>IF(COUNTA(A379:F2666)=0,"",IF(#REF!="","BRAK PROTOKOŁU","DODANY"))</f>
        <v/>
      </c>
      <c r="K379" s="1"/>
      <c r="M379" s="13" t="str" cm="1">
        <f t="array" ref="M379">IF($A379="","",IFERROR(TRANSPOSE(_xlfn._xlws.FILTER(Lokale!$C$3:$C$91,Lokale!$B$3:$B$91=$A379)),""))</f>
        <v/>
      </c>
      <c r="AJ379" s="13" t="str" cm="1">
        <f t="array" ref="AJ379">IF($C379="","",IFERROR(TRANSPOSE(_xlfn._xlws.FILTER(Listy!$D$2:$D$60,Listy!$C$2:$C$60=$C379)),""))</f>
        <v/>
      </c>
    </row>
    <row r="380" spans="7:36" ht="25" customHeight="1" x14ac:dyDescent="0.35">
      <c r="G380" s="15" t="str">
        <f t="shared" si="48"/>
        <v/>
      </c>
      <c r="H380" s="12" t="str">
        <f t="shared" ca="1" si="49"/>
        <v/>
      </c>
      <c r="I380" s="14"/>
      <c r="J380" s="1" t="str">
        <f>IF(COUNTA(A380:F2667)=0,"",IF(#REF!="","BRAK PROTOKOŁU","DODANY"))</f>
        <v/>
      </c>
      <c r="K380" s="1"/>
      <c r="M380" s="13" t="str" cm="1">
        <f t="array" ref="M380">IF($A380="","",IFERROR(TRANSPOSE(_xlfn._xlws.FILTER(Lokale!$C$3:$C$91,Lokale!$B$3:$B$91=$A380)),""))</f>
        <v/>
      </c>
      <c r="AJ380" s="13" t="str" cm="1">
        <f t="array" ref="AJ380">IF($C380="","",IFERROR(TRANSPOSE(_xlfn._xlws.FILTER(Listy!$D$2:$D$60,Listy!$C$2:$C$60=$C380)),""))</f>
        <v/>
      </c>
    </row>
    <row r="381" spans="7:36" ht="25" customHeight="1" x14ac:dyDescent="0.35">
      <c r="G381" s="15" t="str">
        <f t="shared" si="48"/>
        <v/>
      </c>
      <c r="H381" s="12" t="str">
        <f t="shared" ca="1" si="49"/>
        <v/>
      </c>
      <c r="I381" s="14"/>
      <c r="J381" s="1" t="str">
        <f>IF(COUNTA(A381:F2668)=0,"",IF(#REF!="","BRAK PROTOKOŁU","DODANY"))</f>
        <v/>
      </c>
      <c r="K381" s="1"/>
      <c r="M381" s="13" t="str" cm="1">
        <f t="array" ref="M381">IF($A381="","",IFERROR(TRANSPOSE(_xlfn._xlws.FILTER(Lokale!$C$3:$C$91,Lokale!$B$3:$B$91=$A381)),""))</f>
        <v/>
      </c>
      <c r="AJ381" s="13" t="str" cm="1">
        <f t="array" ref="AJ381">IF($C381="","",IFERROR(TRANSPOSE(_xlfn._xlws.FILTER(Listy!$D$2:$D$60,Listy!$C$2:$C$60=$C381)),""))</f>
        <v/>
      </c>
    </row>
    <row r="382" spans="7:36" ht="25" customHeight="1" x14ac:dyDescent="0.35">
      <c r="G382" s="15" t="str">
        <f t="shared" si="48"/>
        <v/>
      </c>
      <c r="H382" s="12" t="str">
        <f t="shared" ca="1" si="49"/>
        <v/>
      </c>
      <c r="I382" s="14"/>
      <c r="J382" s="1" t="str">
        <f>IF(COUNTA(A382:F2669)=0,"",IF(#REF!="","BRAK PROTOKOŁU","DODANY"))</f>
        <v/>
      </c>
      <c r="K382" s="1"/>
      <c r="M382" s="13" t="str" cm="1">
        <f t="array" ref="M382">IF($A382="","",IFERROR(TRANSPOSE(_xlfn._xlws.FILTER(Lokale!$C$3:$C$91,Lokale!$B$3:$B$91=$A382)),""))</f>
        <v/>
      </c>
      <c r="AJ382" s="13" t="str" cm="1">
        <f t="array" ref="AJ382">IF($C382="","",IFERROR(TRANSPOSE(_xlfn._xlws.FILTER(Listy!$D$2:$D$60,Listy!$C$2:$C$60=$C382)),""))</f>
        <v/>
      </c>
    </row>
    <row r="383" spans="7:36" ht="25" customHeight="1" x14ac:dyDescent="0.35">
      <c r="G383" s="15" t="str">
        <f t="shared" si="48"/>
        <v/>
      </c>
      <c r="H383" s="12" t="str">
        <f t="shared" ca="1" si="49"/>
        <v/>
      </c>
      <c r="I383" s="14"/>
      <c r="J383" s="1" t="str">
        <f>IF(COUNTA(A383:F2670)=0,"",IF(#REF!="","BRAK PROTOKOŁU","DODANY"))</f>
        <v/>
      </c>
      <c r="K383" s="1"/>
      <c r="M383" s="13" t="str" cm="1">
        <f t="array" ref="M383">IF($A383="","",IFERROR(TRANSPOSE(_xlfn._xlws.FILTER(Lokale!$C$3:$C$91,Lokale!$B$3:$B$91=$A383)),""))</f>
        <v/>
      </c>
      <c r="AJ383" s="13" t="str" cm="1">
        <f t="array" ref="AJ383">IF($C383="","",IFERROR(TRANSPOSE(_xlfn._xlws.FILTER(Listy!$D$2:$D$60,Listy!$C$2:$C$60=$C383)),""))</f>
        <v/>
      </c>
    </row>
    <row r="384" spans="7:36" ht="25" customHeight="1" x14ac:dyDescent="0.35">
      <c r="G384" s="15" t="str">
        <f t="shared" si="48"/>
        <v/>
      </c>
      <c r="H384" s="12" t="str">
        <f t="shared" ca="1" si="49"/>
        <v/>
      </c>
      <c r="I384" s="14"/>
      <c r="J384" s="1" t="str">
        <f>IF(COUNTA(A384:F2671)=0,"",IF(#REF!="","BRAK PROTOKOŁU","DODANY"))</f>
        <v/>
      </c>
      <c r="K384" s="1"/>
      <c r="M384" s="13" t="str" cm="1">
        <f t="array" ref="M384">IF($A384="","",IFERROR(TRANSPOSE(_xlfn._xlws.FILTER(Lokale!$C$3:$C$91,Lokale!$B$3:$B$91=$A384)),""))</f>
        <v/>
      </c>
      <c r="AJ384" s="13" t="str" cm="1">
        <f t="array" ref="AJ384">IF($C384="","",IFERROR(TRANSPOSE(_xlfn._xlws.FILTER(Listy!$D$2:$D$60,Listy!$C$2:$C$60=$C384)),""))</f>
        <v/>
      </c>
    </row>
    <row r="385" spans="7:36" ht="25" customHeight="1" x14ac:dyDescent="0.35">
      <c r="G385" s="15" t="str">
        <f t="shared" si="48"/>
        <v/>
      </c>
      <c r="H385" s="12" t="str">
        <f t="shared" ca="1" si="49"/>
        <v/>
      </c>
      <c r="I385" s="14"/>
      <c r="J385" s="1" t="str">
        <f>IF(COUNTA(A385:F2672)=0,"",IF(#REF!="","BRAK PROTOKOŁU","DODANY"))</f>
        <v/>
      </c>
      <c r="K385" s="1"/>
      <c r="M385" s="13" t="str" cm="1">
        <f t="array" ref="M385">IF($A385="","",IFERROR(TRANSPOSE(_xlfn._xlws.FILTER(Lokale!$C$3:$C$91,Lokale!$B$3:$B$91=$A385)),""))</f>
        <v/>
      </c>
      <c r="AJ385" s="13" t="str" cm="1">
        <f t="array" ref="AJ385">IF($C385="","",IFERROR(TRANSPOSE(_xlfn._xlws.FILTER(Listy!$D$2:$D$60,Listy!$C$2:$C$60=$C385)),""))</f>
        <v/>
      </c>
    </row>
    <row r="386" spans="7:36" ht="25" customHeight="1" x14ac:dyDescent="0.35">
      <c r="G386" s="15" t="str">
        <f t="shared" si="48"/>
        <v/>
      </c>
      <c r="H386" s="12" t="str">
        <f t="shared" ca="1" si="49"/>
        <v/>
      </c>
      <c r="I386" s="14"/>
      <c r="J386" s="1" t="str">
        <f>IF(COUNTA(A386:F2673)=0,"",IF(#REF!="","BRAK PROTOKOŁU","DODANY"))</f>
        <v/>
      </c>
      <c r="K386" s="1"/>
      <c r="M386" s="13" t="str" cm="1">
        <f t="array" ref="M386">IF($A386="","",IFERROR(TRANSPOSE(_xlfn._xlws.FILTER(Lokale!$C$3:$C$91,Lokale!$B$3:$B$91=$A386)),""))</f>
        <v/>
      </c>
      <c r="AJ386" s="13" t="str" cm="1">
        <f t="array" ref="AJ386">IF($C386="","",IFERROR(TRANSPOSE(_xlfn._xlws.FILTER(Listy!$D$2:$D$60,Listy!$C$2:$C$60=$C386)),""))</f>
        <v/>
      </c>
    </row>
    <row r="387" spans="7:36" ht="25" customHeight="1" x14ac:dyDescent="0.35">
      <c r="G387" s="15" t="str">
        <f t="shared" si="48"/>
        <v/>
      </c>
      <c r="H387" s="12" t="str">
        <f t="shared" ca="1" si="49"/>
        <v/>
      </c>
      <c r="I387" s="14"/>
      <c r="J387" s="1" t="str">
        <f>IF(COUNTA(A387:F2674)=0,"",IF(#REF!="","BRAK PROTOKOŁU","DODANY"))</f>
        <v/>
      </c>
      <c r="K387" s="1"/>
      <c r="M387" s="13" t="str" cm="1">
        <f t="array" ref="M387">IF($A387="","",IFERROR(TRANSPOSE(_xlfn._xlws.FILTER(Lokale!$C$3:$C$91,Lokale!$B$3:$B$91=$A387)),""))</f>
        <v/>
      </c>
      <c r="AJ387" s="13" t="str" cm="1">
        <f t="array" ref="AJ387">IF($C387="","",IFERROR(TRANSPOSE(_xlfn._xlws.FILTER(Listy!$D$2:$D$60,Listy!$C$2:$C$60=$C387)),""))</f>
        <v/>
      </c>
    </row>
    <row r="388" spans="7:36" ht="25" customHeight="1" x14ac:dyDescent="0.35">
      <c r="G388" s="15" t="str">
        <f t="shared" si="48"/>
        <v/>
      </c>
      <c r="H388" s="12" t="str">
        <f t="shared" ca="1" si="49"/>
        <v/>
      </c>
      <c r="I388" s="14"/>
      <c r="J388" s="1" t="str">
        <f>IF(COUNTA(A388:F2675)=0,"",IF(#REF!="","BRAK PROTOKOŁU","DODANY"))</f>
        <v/>
      </c>
      <c r="K388" s="1"/>
      <c r="M388" s="13" t="str" cm="1">
        <f t="array" ref="M388">IF($A388="","",IFERROR(TRANSPOSE(_xlfn._xlws.FILTER(Lokale!$C$3:$C$91,Lokale!$B$3:$B$91=$A388)),""))</f>
        <v/>
      </c>
      <c r="AJ388" s="13" t="str" cm="1">
        <f t="array" ref="AJ388">IF($C388="","",IFERROR(TRANSPOSE(_xlfn._xlws.FILTER(Listy!$D$2:$D$60,Listy!$C$2:$C$60=$C388)),""))</f>
        <v/>
      </c>
    </row>
    <row r="389" spans="7:36" ht="25" customHeight="1" x14ac:dyDescent="0.35">
      <c r="G389" s="15" t="str">
        <f t="shared" si="48"/>
        <v/>
      </c>
      <c r="H389" s="12" t="str">
        <f t="shared" ca="1" si="49"/>
        <v/>
      </c>
      <c r="I389" s="14"/>
      <c r="J389" s="1" t="str">
        <f>IF(COUNTA(A389:F2676)=0,"",IF(#REF!="","BRAK PROTOKOŁU","DODANY"))</f>
        <v/>
      </c>
      <c r="K389" s="1"/>
      <c r="M389" s="13" t="str" cm="1">
        <f t="array" ref="M389">IF($A389="","",IFERROR(TRANSPOSE(_xlfn._xlws.FILTER(Lokale!$C$3:$C$91,Lokale!$B$3:$B$91=$A389)),""))</f>
        <v/>
      </c>
      <c r="AJ389" s="13" t="str" cm="1">
        <f t="array" ref="AJ389">IF($C389="","",IFERROR(TRANSPOSE(_xlfn._xlws.FILTER(Listy!$D$2:$D$60,Listy!$C$2:$C$60=$C389)),""))</f>
        <v/>
      </c>
    </row>
    <row r="390" spans="7:36" ht="25" customHeight="1" x14ac:dyDescent="0.35">
      <c r="G390" s="15" t="str">
        <f t="shared" si="48"/>
        <v/>
      </c>
      <c r="H390" s="12" t="str">
        <f t="shared" ca="1" si="49"/>
        <v/>
      </c>
      <c r="I390" s="14"/>
      <c r="J390" s="1" t="str">
        <f>IF(COUNTA(A390:F2677)=0,"",IF(#REF!="","BRAK PROTOKOŁU","DODANY"))</f>
        <v/>
      </c>
      <c r="K390" s="1"/>
      <c r="M390" s="13" t="str" cm="1">
        <f t="array" ref="M390">IF($A390="","",IFERROR(TRANSPOSE(_xlfn._xlws.FILTER(Lokale!$C$3:$C$91,Lokale!$B$3:$B$91=$A390)),""))</f>
        <v/>
      </c>
      <c r="AJ390" s="13" t="str" cm="1">
        <f t="array" ref="AJ390">IF($C390="","",IFERROR(TRANSPOSE(_xlfn._xlws.FILTER(Listy!$D$2:$D$60,Listy!$C$2:$C$60=$C390)),""))</f>
        <v/>
      </c>
    </row>
    <row r="391" spans="7:36" ht="25" customHeight="1" x14ac:dyDescent="0.35">
      <c r="G391" s="15" t="str">
        <f t="shared" si="48"/>
        <v/>
      </c>
      <c r="H391" s="12" t="str">
        <f t="shared" ca="1" si="49"/>
        <v/>
      </c>
      <c r="I391" s="14"/>
      <c r="J391" s="1" t="str">
        <f>IF(COUNTA(A391:F2678)=0,"",IF(#REF!="","BRAK PROTOKOŁU","DODANY"))</f>
        <v/>
      </c>
      <c r="K391" s="1"/>
      <c r="M391" s="13" t="str" cm="1">
        <f t="array" ref="M391">IF($A391="","",IFERROR(TRANSPOSE(_xlfn._xlws.FILTER(Lokale!$C$3:$C$91,Lokale!$B$3:$B$91=$A391)),""))</f>
        <v/>
      </c>
      <c r="AJ391" s="13" t="str" cm="1">
        <f t="array" ref="AJ391">IF($C391="","",IFERROR(TRANSPOSE(_xlfn._xlws.FILTER(Listy!$D$2:$D$60,Listy!$C$2:$C$60=$C391)),""))</f>
        <v/>
      </c>
    </row>
    <row r="392" spans="7:36" ht="25" customHeight="1" x14ac:dyDescent="0.35">
      <c r="G392" s="15" t="str">
        <f t="shared" si="48"/>
        <v/>
      </c>
      <c r="H392" s="12" t="str">
        <f t="shared" ca="1" si="49"/>
        <v/>
      </c>
      <c r="I392" s="14"/>
      <c r="J392" s="1" t="str">
        <f>IF(COUNTA(A392:F2679)=0,"",IF(#REF!="","BRAK PROTOKOŁU","DODANY"))</f>
        <v/>
      </c>
      <c r="K392" s="1"/>
      <c r="M392" s="13" t="str" cm="1">
        <f t="array" ref="M392">IF($A392="","",IFERROR(TRANSPOSE(_xlfn._xlws.FILTER(Lokale!$C$3:$C$91,Lokale!$B$3:$B$91=$A392)),""))</f>
        <v/>
      </c>
      <c r="AJ392" s="13" t="str" cm="1">
        <f t="array" ref="AJ392">IF($C392="","",IFERROR(TRANSPOSE(_xlfn._xlws.FILTER(Listy!$D$2:$D$60,Listy!$C$2:$C$60=$C392)),""))</f>
        <v/>
      </c>
    </row>
    <row r="393" spans="7:36" ht="25" customHeight="1" x14ac:dyDescent="0.35">
      <c r="G393" s="15" t="str">
        <f t="shared" si="48"/>
        <v/>
      </c>
      <c r="H393" s="12" t="str">
        <f t="shared" ca="1" si="49"/>
        <v/>
      </c>
      <c r="I393" s="14"/>
      <c r="J393" s="1" t="str">
        <f>IF(COUNTA(A393:F2680)=0,"",IF(#REF!="","BRAK PROTOKOŁU","DODANY"))</f>
        <v/>
      </c>
      <c r="K393" s="1"/>
      <c r="M393" s="13" t="str" cm="1">
        <f t="array" ref="M393">IF($A393="","",IFERROR(TRANSPOSE(_xlfn._xlws.FILTER(Lokale!$C$3:$C$91,Lokale!$B$3:$B$91=$A393)),""))</f>
        <v/>
      </c>
      <c r="AJ393" s="13" t="str" cm="1">
        <f t="array" ref="AJ393">IF($C393="","",IFERROR(TRANSPOSE(_xlfn._xlws.FILTER(Listy!$D$2:$D$60,Listy!$C$2:$C$60=$C393)),""))</f>
        <v/>
      </c>
    </row>
    <row r="394" spans="7:36" ht="25" customHeight="1" x14ac:dyDescent="0.35">
      <c r="G394" s="15" t="str">
        <f t="shared" si="48"/>
        <v/>
      </c>
      <c r="H394" s="12" t="str">
        <f t="shared" ca="1" si="49"/>
        <v/>
      </c>
      <c r="I394" s="14"/>
      <c r="J394" s="1" t="str">
        <f>IF(COUNTA(A394:F2681)=0,"",IF(#REF!="","BRAK PROTOKOŁU","DODANY"))</f>
        <v/>
      </c>
      <c r="K394" s="1"/>
      <c r="M394" s="13" t="str" cm="1">
        <f t="array" ref="M394">IF($A394="","",IFERROR(TRANSPOSE(_xlfn._xlws.FILTER(Lokale!$C$3:$C$91,Lokale!$B$3:$B$91=$A394)),""))</f>
        <v/>
      </c>
      <c r="AJ394" s="13" t="str" cm="1">
        <f t="array" ref="AJ394">IF($C394="","",IFERROR(TRANSPOSE(_xlfn._xlws.FILTER(Listy!$D$2:$D$60,Listy!$C$2:$C$60=$C394)),""))</f>
        <v/>
      </c>
    </row>
    <row r="395" spans="7:36" ht="25" customHeight="1" x14ac:dyDescent="0.35">
      <c r="G395" s="15" t="str">
        <f t="shared" si="48"/>
        <v/>
      </c>
      <c r="H395" s="12" t="str">
        <f t="shared" ca="1" si="49"/>
        <v/>
      </c>
      <c r="I395" s="14"/>
      <c r="J395" s="1" t="str">
        <f>IF(COUNTA(A395:F2682)=0,"",IF(#REF!="","BRAK PROTOKOŁU","DODANY"))</f>
        <v/>
      </c>
      <c r="K395" s="1"/>
      <c r="M395" s="13" t="str" cm="1">
        <f t="array" ref="M395">IF($A395="","",IFERROR(TRANSPOSE(_xlfn._xlws.FILTER(Lokale!$C$3:$C$91,Lokale!$B$3:$B$91=$A395)),""))</f>
        <v/>
      </c>
      <c r="AJ395" s="13" t="str" cm="1">
        <f t="array" ref="AJ395">IF($C395="","",IFERROR(TRANSPOSE(_xlfn._xlws.FILTER(Listy!$D$2:$D$60,Listy!$C$2:$C$60=$C395)),""))</f>
        <v/>
      </c>
    </row>
    <row r="396" spans="7:36" ht="25" customHeight="1" x14ac:dyDescent="0.35">
      <c r="G396" s="15" t="str">
        <f t="shared" si="48"/>
        <v/>
      </c>
      <c r="H396" s="12" t="str">
        <f t="shared" ca="1" si="49"/>
        <v/>
      </c>
      <c r="I396" s="14"/>
      <c r="J396" s="1" t="str">
        <f>IF(COUNTA(A396:F2683)=0,"",IF(#REF!="","BRAK PROTOKOŁU","DODANY"))</f>
        <v/>
      </c>
      <c r="K396" s="1"/>
      <c r="M396" s="13" t="str" cm="1">
        <f t="array" ref="M396">IF($A396="","",IFERROR(TRANSPOSE(_xlfn._xlws.FILTER(Lokale!$C$3:$C$91,Lokale!$B$3:$B$91=$A396)),""))</f>
        <v/>
      </c>
      <c r="AJ396" s="13" t="str" cm="1">
        <f t="array" ref="AJ396">IF($C396="","",IFERROR(TRANSPOSE(_xlfn._xlws.FILTER(Listy!$D$2:$D$60,Listy!$C$2:$C$60=$C396)),""))</f>
        <v/>
      </c>
    </row>
    <row r="397" spans="7:36" ht="25" customHeight="1" x14ac:dyDescent="0.35">
      <c r="G397" s="15" t="str">
        <f t="shared" si="48"/>
        <v/>
      </c>
      <c r="H397" s="12" t="str">
        <f t="shared" ca="1" si="49"/>
        <v/>
      </c>
      <c r="I397" s="14"/>
      <c r="J397" s="1" t="str">
        <f>IF(COUNTA(A397:F2684)=0,"",IF(#REF!="","BRAK PROTOKOŁU","DODANY"))</f>
        <v/>
      </c>
      <c r="K397" s="1"/>
      <c r="M397" s="13" t="str" cm="1">
        <f t="array" ref="M397">IF($A397="","",IFERROR(TRANSPOSE(_xlfn._xlws.FILTER(Lokale!$C$3:$C$91,Lokale!$B$3:$B$91=$A397)),""))</f>
        <v/>
      </c>
      <c r="AJ397" s="13" t="str" cm="1">
        <f t="array" ref="AJ397">IF($C397="","",IFERROR(TRANSPOSE(_xlfn._xlws.FILTER(Listy!$D$2:$D$60,Listy!$C$2:$C$60=$C397)),""))</f>
        <v/>
      </c>
    </row>
    <row r="398" spans="7:36" ht="25" customHeight="1" x14ac:dyDescent="0.35">
      <c r="G398" s="15" t="str">
        <f t="shared" si="48"/>
        <v/>
      </c>
      <c r="H398" s="12" t="str">
        <f t="shared" ca="1" si="49"/>
        <v/>
      </c>
      <c r="I398" s="14"/>
      <c r="J398" s="1" t="str">
        <f>IF(COUNTA(A398:F2685)=0,"",IF(#REF!="","BRAK PROTOKOŁU","DODANY"))</f>
        <v/>
      </c>
      <c r="K398" s="1"/>
      <c r="M398" s="13" t="str" cm="1">
        <f t="array" ref="M398">IF($A398="","",IFERROR(TRANSPOSE(_xlfn._xlws.FILTER(Lokale!$C$3:$C$91,Lokale!$B$3:$B$91=$A398)),""))</f>
        <v/>
      </c>
      <c r="AJ398" s="13" t="str" cm="1">
        <f t="array" ref="AJ398">IF($C398="","",IFERROR(TRANSPOSE(_xlfn._xlws.FILTER(Listy!$D$2:$D$60,Listy!$C$2:$C$60=$C398)),""))</f>
        <v/>
      </c>
    </row>
    <row r="399" spans="7:36" ht="25" customHeight="1" x14ac:dyDescent="0.35">
      <c r="G399" s="15" t="str">
        <f t="shared" si="48"/>
        <v/>
      </c>
      <c r="H399" s="12" t="str">
        <f t="shared" ca="1" si="49"/>
        <v/>
      </c>
      <c r="I399" s="14"/>
      <c r="J399" s="1" t="str">
        <f>IF(COUNTA(A399:F2686)=0,"",IF(#REF!="","BRAK PROTOKOŁU","DODANY"))</f>
        <v/>
      </c>
      <c r="K399" s="1"/>
      <c r="M399" s="13" t="str" cm="1">
        <f t="array" ref="M399">IF($A399="","",IFERROR(TRANSPOSE(_xlfn._xlws.FILTER(Lokale!$C$3:$C$91,Lokale!$B$3:$B$91=$A399)),""))</f>
        <v/>
      </c>
      <c r="AJ399" s="13" t="str" cm="1">
        <f t="array" ref="AJ399">IF($C399="","",IFERROR(TRANSPOSE(_xlfn._xlws.FILTER(Listy!$D$2:$D$60,Listy!$C$2:$C$60=$C399)),""))</f>
        <v/>
      </c>
    </row>
    <row r="400" spans="7:36" ht="25" customHeight="1" x14ac:dyDescent="0.35">
      <c r="G400" s="15" t="str">
        <f t="shared" si="48"/>
        <v/>
      </c>
      <c r="H400" s="12" t="str">
        <f t="shared" ca="1" si="49"/>
        <v/>
      </c>
      <c r="I400" s="14"/>
      <c r="J400" s="1" t="str">
        <f>IF(COUNTA(A400:F2687)=0,"",IF(#REF!="","BRAK PROTOKOŁU","DODANY"))</f>
        <v/>
      </c>
      <c r="K400" s="1"/>
      <c r="M400" s="13" t="str" cm="1">
        <f t="array" ref="M400">IF($A400="","",IFERROR(TRANSPOSE(_xlfn._xlws.FILTER(Lokale!$C$3:$C$91,Lokale!$B$3:$B$91=$A400)),""))</f>
        <v/>
      </c>
      <c r="AJ400" s="13" t="str" cm="1">
        <f t="array" ref="AJ400">IF($C400="","",IFERROR(TRANSPOSE(_xlfn._xlws.FILTER(Listy!$D$2:$D$60,Listy!$C$2:$C$60=$C400)),""))</f>
        <v/>
      </c>
    </row>
    <row r="401" spans="7:36" ht="25" customHeight="1" x14ac:dyDescent="0.35">
      <c r="G401" s="15" t="str">
        <f t="shared" si="48"/>
        <v/>
      </c>
      <c r="H401" s="12" t="str">
        <f t="shared" ca="1" si="49"/>
        <v/>
      </c>
      <c r="I401" s="14"/>
      <c r="J401" s="1" t="str">
        <f>IF(COUNTA(A401:F2688)=0,"",IF(#REF!="","BRAK PROTOKOŁU","DODANY"))</f>
        <v/>
      </c>
      <c r="K401" s="1"/>
      <c r="M401" s="13" t="str" cm="1">
        <f t="array" ref="M401">IF($A401="","",IFERROR(TRANSPOSE(_xlfn._xlws.FILTER(Lokale!$C$3:$C$91,Lokale!$B$3:$B$91=$A401)),""))</f>
        <v/>
      </c>
      <c r="AJ401" s="13" t="str" cm="1">
        <f t="array" ref="AJ401">IF($C401="","",IFERROR(TRANSPOSE(_xlfn._xlws.FILTER(Listy!$D$2:$D$60,Listy!$C$2:$C$60=$C401)),""))</f>
        <v/>
      </c>
    </row>
    <row r="402" spans="7:36" ht="25" customHeight="1" x14ac:dyDescent="0.35">
      <c r="G402" s="15" t="str">
        <f t="shared" si="48"/>
        <v/>
      </c>
      <c r="H402" s="12" t="str">
        <f t="shared" ca="1" si="49"/>
        <v/>
      </c>
      <c r="I402" s="14"/>
      <c r="J402" s="1" t="str">
        <f>IF(COUNTA(A402:F2689)=0,"",IF(#REF!="","BRAK PROTOKOŁU","DODANY"))</f>
        <v/>
      </c>
      <c r="K402" s="1"/>
      <c r="M402" s="13" t="str" cm="1">
        <f t="array" ref="M402">IF($A402="","",IFERROR(TRANSPOSE(_xlfn._xlws.FILTER(Lokale!$C$3:$C$91,Lokale!$B$3:$B$91=$A402)),""))</f>
        <v/>
      </c>
      <c r="AJ402" s="13" t="str" cm="1">
        <f t="array" ref="AJ402">IF($C402="","",IFERROR(TRANSPOSE(_xlfn._xlws.FILTER(Listy!$D$2:$D$60,Listy!$C$2:$C$60=$C402)),""))</f>
        <v/>
      </c>
    </row>
    <row r="403" spans="7:36" ht="25" customHeight="1" x14ac:dyDescent="0.35">
      <c r="G403" s="15" t="str">
        <f t="shared" si="48"/>
        <v/>
      </c>
      <c r="H403" s="12" t="str">
        <f t="shared" ca="1" si="49"/>
        <v/>
      </c>
      <c r="I403" s="14"/>
      <c r="J403" s="1" t="str">
        <f>IF(COUNTA(A403:F2690)=0,"",IF(#REF!="","BRAK PROTOKOŁU","DODANY"))</f>
        <v/>
      </c>
      <c r="K403" s="1"/>
      <c r="M403" s="13" t="str" cm="1">
        <f t="array" ref="M403">IF($A403="","",IFERROR(TRANSPOSE(_xlfn._xlws.FILTER(Lokale!$C$3:$C$91,Lokale!$B$3:$B$91=$A403)),""))</f>
        <v/>
      </c>
      <c r="AJ403" s="13" t="str" cm="1">
        <f t="array" ref="AJ403">IF($C403="","",IFERROR(TRANSPOSE(_xlfn._xlws.FILTER(Listy!$D$2:$D$60,Listy!$C$2:$C$60=$C403)),""))</f>
        <v/>
      </c>
    </row>
    <row r="404" spans="7:36" ht="25" customHeight="1" x14ac:dyDescent="0.35">
      <c r="G404" s="15" t="str">
        <f t="shared" si="48"/>
        <v/>
      </c>
      <c r="H404" s="12" t="str">
        <f t="shared" ca="1" si="49"/>
        <v/>
      </c>
      <c r="I404" s="14"/>
      <c r="J404" s="1" t="str">
        <f>IF(COUNTA(A404:F2691)=0,"",IF(#REF!="","BRAK PROTOKOŁU","DODANY"))</f>
        <v/>
      </c>
      <c r="K404" s="1"/>
      <c r="M404" s="13" t="str" cm="1">
        <f t="array" ref="M404">IF($A404="","",IFERROR(TRANSPOSE(_xlfn._xlws.FILTER(Lokale!$C$3:$C$91,Lokale!$B$3:$B$91=$A404)),""))</f>
        <v/>
      </c>
      <c r="AJ404" s="13" t="str" cm="1">
        <f t="array" ref="AJ404">IF($C404="","",IFERROR(TRANSPOSE(_xlfn._xlws.FILTER(Listy!$D$2:$D$60,Listy!$C$2:$C$60=$C404)),""))</f>
        <v/>
      </c>
    </row>
    <row r="405" spans="7:36" ht="25" customHeight="1" x14ac:dyDescent="0.35">
      <c r="G405" s="15" t="str">
        <f t="shared" si="48"/>
        <v/>
      </c>
      <c r="H405" s="12" t="str">
        <f t="shared" ca="1" si="49"/>
        <v/>
      </c>
      <c r="I405" s="14"/>
      <c r="J405" s="1" t="str">
        <f>IF(COUNTA(A405:F2692)=0,"",IF(#REF!="","BRAK PROTOKOŁU","DODANY"))</f>
        <v/>
      </c>
      <c r="K405" s="1"/>
      <c r="M405" s="13" t="str" cm="1">
        <f t="array" ref="M405">IF($A405="","",IFERROR(TRANSPOSE(_xlfn._xlws.FILTER(Lokale!$C$3:$C$91,Lokale!$B$3:$B$91=$A405)),""))</f>
        <v/>
      </c>
      <c r="AJ405" s="13" t="str" cm="1">
        <f t="array" ref="AJ405">IF($C405="","",IFERROR(TRANSPOSE(_xlfn._xlws.FILTER(Listy!$D$2:$D$60,Listy!$C$2:$C$60=$C405)),""))</f>
        <v/>
      </c>
    </row>
    <row r="406" spans="7:36" ht="25" customHeight="1" x14ac:dyDescent="0.35">
      <c r="G406" s="15" t="str">
        <f t="shared" si="48"/>
        <v/>
      </c>
      <c r="H406" s="12" t="str">
        <f t="shared" ca="1" si="49"/>
        <v/>
      </c>
      <c r="I406" s="14"/>
      <c r="J406" s="1" t="str">
        <f>IF(COUNTA(A406:F2693)=0,"",IF(#REF!="","BRAK PROTOKOŁU","DODANY"))</f>
        <v/>
      </c>
      <c r="K406" s="1"/>
      <c r="M406" s="13" t="str" cm="1">
        <f t="array" ref="M406">IF($A406="","",IFERROR(TRANSPOSE(_xlfn._xlws.FILTER(Lokale!$C$3:$C$91,Lokale!$B$3:$B$91=$A406)),""))</f>
        <v/>
      </c>
      <c r="AJ406" s="13" t="str" cm="1">
        <f t="array" ref="AJ406">IF($C406="","",IFERROR(TRANSPOSE(_xlfn._xlws.FILTER(Listy!$D$2:$D$60,Listy!$C$2:$C$60=$C406)),""))</f>
        <v/>
      </c>
    </row>
    <row r="407" spans="7:36" ht="25" customHeight="1" x14ac:dyDescent="0.35">
      <c r="G407" s="15" t="str">
        <f t="shared" si="48"/>
        <v/>
      </c>
      <c r="H407" s="12" t="str">
        <f t="shared" ca="1" si="49"/>
        <v/>
      </c>
      <c r="I407" s="14"/>
      <c r="J407" s="1" t="str">
        <f>IF(COUNTA(A407:F2694)=0,"",IF(#REF!="","BRAK PROTOKOŁU","DODANY"))</f>
        <v/>
      </c>
      <c r="K407" s="1"/>
      <c r="M407" s="13" t="str" cm="1">
        <f t="array" ref="M407">IF($A407="","",IFERROR(TRANSPOSE(_xlfn._xlws.FILTER(Lokale!$C$3:$C$91,Lokale!$B$3:$B$91=$A407)),""))</f>
        <v/>
      </c>
      <c r="AJ407" s="13" t="str" cm="1">
        <f t="array" ref="AJ407">IF($C407="","",IFERROR(TRANSPOSE(_xlfn._xlws.FILTER(Listy!$D$2:$D$60,Listy!$C$2:$C$60=$C407)),""))</f>
        <v/>
      </c>
    </row>
    <row r="408" spans="7:36" ht="25" customHeight="1" x14ac:dyDescent="0.35">
      <c r="G408" s="15" t="str">
        <f t="shared" si="48"/>
        <v/>
      </c>
      <c r="H408" s="12" t="str">
        <f t="shared" ca="1" si="49"/>
        <v/>
      </c>
      <c r="I408" s="14"/>
      <c r="J408" s="1" t="str">
        <f>IF(COUNTA(A408:F2695)=0,"",IF(#REF!="","BRAK PROTOKOŁU","DODANY"))</f>
        <v/>
      </c>
      <c r="K408" s="1"/>
      <c r="M408" s="13" t="str" cm="1">
        <f t="array" ref="M408">IF($A408="","",IFERROR(TRANSPOSE(_xlfn._xlws.FILTER(Lokale!$C$3:$C$91,Lokale!$B$3:$B$91=$A408)),""))</f>
        <v/>
      </c>
      <c r="AJ408" s="13" t="str" cm="1">
        <f t="array" ref="AJ408">IF($C408="","",IFERROR(TRANSPOSE(_xlfn._xlws.FILTER(Listy!$D$2:$D$60,Listy!$C$2:$C$60=$C408)),""))</f>
        <v/>
      </c>
    </row>
    <row r="409" spans="7:36" ht="25" customHeight="1" x14ac:dyDescent="0.35">
      <c r="G409" s="15" t="str">
        <f t="shared" si="48"/>
        <v/>
      </c>
      <c r="H409" s="12" t="str">
        <f t="shared" ca="1" si="49"/>
        <v/>
      </c>
      <c r="I409" s="14"/>
      <c r="J409" s="1" t="str">
        <f>IF(COUNTA(A409:F2696)=0,"",IF(#REF!="","BRAK PROTOKOŁU","DODANY"))</f>
        <v/>
      </c>
      <c r="K409" s="1"/>
      <c r="M409" s="13" t="str" cm="1">
        <f t="array" ref="M409">IF($A409="","",IFERROR(TRANSPOSE(_xlfn._xlws.FILTER(Lokale!$C$3:$C$91,Lokale!$B$3:$B$91=$A409)),""))</f>
        <v/>
      </c>
      <c r="AJ409" s="13" t="str" cm="1">
        <f t="array" ref="AJ409">IF($C409="","",IFERROR(TRANSPOSE(_xlfn._xlws.FILTER(Listy!$D$2:$D$60,Listy!$C$2:$C$60=$C409)),""))</f>
        <v/>
      </c>
    </row>
    <row r="410" spans="7:36" ht="25" customHeight="1" x14ac:dyDescent="0.35">
      <c r="G410" s="15" t="str">
        <f t="shared" si="48"/>
        <v/>
      </c>
      <c r="H410" s="12" t="str">
        <f t="shared" ca="1" si="49"/>
        <v/>
      </c>
      <c r="I410" s="14"/>
      <c r="J410" s="1" t="str">
        <f>IF(COUNTA(A410:F2697)=0,"",IF(#REF!="","BRAK PROTOKOŁU","DODANY"))</f>
        <v/>
      </c>
      <c r="K410" s="1"/>
      <c r="M410" s="13" t="str" cm="1">
        <f t="array" ref="M410">IF($A410="","",IFERROR(TRANSPOSE(_xlfn._xlws.FILTER(Lokale!$C$3:$C$91,Lokale!$B$3:$B$91=$A410)),""))</f>
        <v/>
      </c>
      <c r="AJ410" s="13" t="str" cm="1">
        <f t="array" ref="AJ410">IF($C410="","",IFERROR(TRANSPOSE(_xlfn._xlws.FILTER(Listy!$D$2:$D$60,Listy!$C$2:$C$60=$C410)),""))</f>
        <v/>
      </c>
    </row>
    <row r="411" spans="7:36" ht="25" customHeight="1" x14ac:dyDescent="0.35">
      <c r="G411" s="15" t="str">
        <f t="shared" si="48"/>
        <v/>
      </c>
      <c r="H411" s="12" t="str">
        <f t="shared" ca="1" si="49"/>
        <v/>
      </c>
      <c r="I411" s="14"/>
      <c r="J411" s="1" t="str">
        <f>IF(COUNTA(A411:F2698)=0,"",IF(#REF!="","BRAK PROTOKOŁU","DODANY"))</f>
        <v/>
      </c>
      <c r="K411" s="1"/>
      <c r="M411" s="13" t="str" cm="1">
        <f t="array" ref="M411">IF($A411="","",IFERROR(TRANSPOSE(_xlfn._xlws.FILTER(Lokale!$C$3:$C$91,Lokale!$B$3:$B$91=$A411)),""))</f>
        <v/>
      </c>
      <c r="AJ411" s="13" t="str" cm="1">
        <f t="array" ref="AJ411">IF($C411="","",IFERROR(TRANSPOSE(_xlfn._xlws.FILTER(Listy!$D$2:$D$60,Listy!$C$2:$C$60=$C411)),""))</f>
        <v/>
      </c>
    </row>
    <row r="412" spans="7:36" ht="25" customHeight="1" x14ac:dyDescent="0.35">
      <c r="G412" s="15" t="str">
        <f t="shared" si="48"/>
        <v/>
      </c>
      <c r="H412" s="12" t="str">
        <f t="shared" ca="1" si="49"/>
        <v/>
      </c>
      <c r="I412" s="14"/>
      <c r="J412" s="1" t="str">
        <f>IF(COUNTA(A412:F2699)=0,"",IF(#REF!="","BRAK PROTOKOŁU","DODANY"))</f>
        <v/>
      </c>
      <c r="K412" s="1"/>
      <c r="M412" s="13" t="str" cm="1">
        <f t="array" ref="M412">IF($A412="","",IFERROR(TRANSPOSE(_xlfn._xlws.FILTER(Lokale!$C$3:$C$91,Lokale!$B$3:$B$91=$A412)),""))</f>
        <v/>
      </c>
      <c r="AJ412" s="13" t="str" cm="1">
        <f t="array" ref="AJ412">IF($C412="","",IFERROR(TRANSPOSE(_xlfn._xlws.FILTER(Listy!$D$2:$D$60,Listy!$C$2:$C$60=$C412)),""))</f>
        <v/>
      </c>
    </row>
    <row r="413" spans="7:36" ht="25" customHeight="1" x14ac:dyDescent="0.35">
      <c r="G413" s="15" t="str">
        <f t="shared" si="48"/>
        <v/>
      </c>
      <c r="H413" s="12" t="str">
        <f t="shared" ca="1" si="49"/>
        <v/>
      </c>
      <c r="I413" s="14"/>
      <c r="J413" s="1" t="str">
        <f>IF(COUNTA(A413:F2700)=0,"",IF(#REF!="","BRAK PROTOKOŁU","DODANY"))</f>
        <v/>
      </c>
      <c r="K413" s="1"/>
      <c r="M413" s="13" t="str" cm="1">
        <f t="array" ref="M413">IF($A413="","",IFERROR(TRANSPOSE(_xlfn._xlws.FILTER(Lokale!$C$3:$C$91,Lokale!$B$3:$B$91=$A413)),""))</f>
        <v/>
      </c>
      <c r="AJ413" s="13" t="str" cm="1">
        <f t="array" ref="AJ413">IF($C413="","",IFERROR(TRANSPOSE(_xlfn._xlws.FILTER(Listy!$D$2:$D$60,Listy!$C$2:$C$60=$C413)),""))</f>
        <v/>
      </c>
    </row>
    <row r="414" spans="7:36" ht="25" customHeight="1" x14ac:dyDescent="0.35">
      <c r="G414" s="15" t="str">
        <f t="shared" si="48"/>
        <v/>
      </c>
      <c r="H414" s="12" t="str">
        <f t="shared" ca="1" si="49"/>
        <v/>
      </c>
      <c r="I414" s="14"/>
      <c r="J414" s="1" t="str">
        <f>IF(COUNTA(A414:F2701)=0,"",IF(#REF!="","BRAK PROTOKOŁU","DODANY"))</f>
        <v/>
      </c>
      <c r="K414" s="1"/>
      <c r="M414" s="13" t="str" cm="1">
        <f t="array" ref="M414">IF($A414="","",IFERROR(TRANSPOSE(_xlfn._xlws.FILTER(Lokale!$C$3:$C$91,Lokale!$B$3:$B$91=$A414)),""))</f>
        <v/>
      </c>
      <c r="AJ414" s="13" t="str" cm="1">
        <f t="array" ref="AJ414">IF($C414="","",IFERROR(TRANSPOSE(_xlfn._xlws.FILTER(Listy!$D$2:$D$60,Listy!$C$2:$C$60=$C414)),""))</f>
        <v/>
      </c>
    </row>
    <row r="415" spans="7:36" ht="25" customHeight="1" x14ac:dyDescent="0.35">
      <c r="G415" s="15" t="str">
        <f t="shared" si="48"/>
        <v/>
      </c>
      <c r="H415" s="12" t="str">
        <f t="shared" ca="1" si="49"/>
        <v/>
      </c>
      <c r="I415" s="14"/>
      <c r="J415" s="1" t="str">
        <f>IF(COUNTA(A415:F2702)=0,"",IF(#REF!="","BRAK PROTOKOŁU","DODANY"))</f>
        <v/>
      </c>
      <c r="K415" s="1"/>
      <c r="M415" s="13" t="str" cm="1">
        <f t="array" ref="M415">IF($A415="","",IFERROR(TRANSPOSE(_xlfn._xlws.FILTER(Lokale!$C$3:$C$91,Lokale!$B$3:$B$91=$A415)),""))</f>
        <v/>
      </c>
      <c r="AJ415" s="13" t="str" cm="1">
        <f t="array" ref="AJ415">IF($C415="","",IFERROR(TRANSPOSE(_xlfn._xlws.FILTER(Listy!$D$2:$D$60,Listy!$C$2:$C$60=$C415)),""))</f>
        <v/>
      </c>
    </row>
    <row r="416" spans="7:36" ht="25" customHeight="1" x14ac:dyDescent="0.35">
      <c r="G416" s="15" t="str">
        <f t="shared" si="48"/>
        <v/>
      </c>
      <c r="H416" s="12" t="str">
        <f t="shared" ca="1" si="49"/>
        <v/>
      </c>
      <c r="I416" s="14"/>
      <c r="J416" s="1" t="str">
        <f>IF(COUNTA(A416:F2703)=0,"",IF(#REF!="","BRAK PROTOKOŁU","DODANY"))</f>
        <v/>
      </c>
      <c r="K416" s="1"/>
      <c r="M416" s="13" t="str" cm="1">
        <f t="array" ref="M416">IF($A416="","",IFERROR(TRANSPOSE(_xlfn._xlws.FILTER(Lokale!$C$3:$C$91,Lokale!$B$3:$B$91=$A416)),""))</f>
        <v/>
      </c>
      <c r="AJ416" s="13" t="str" cm="1">
        <f t="array" ref="AJ416">IF($C416="","",IFERROR(TRANSPOSE(_xlfn._xlws.FILTER(Listy!$D$2:$D$60,Listy!$C$2:$C$60=$C416)),""))</f>
        <v/>
      </c>
    </row>
    <row r="417" spans="7:36" ht="25" customHeight="1" x14ac:dyDescent="0.35">
      <c r="G417" s="15" t="str">
        <f t="shared" si="48"/>
        <v/>
      </c>
      <c r="H417" s="12" t="str">
        <f t="shared" ca="1" si="49"/>
        <v/>
      </c>
      <c r="I417" s="14"/>
      <c r="J417" s="1" t="str">
        <f>IF(COUNTA(A417:F2704)=0,"",IF(#REF!="","BRAK PROTOKOŁU","DODANY"))</f>
        <v/>
      </c>
      <c r="K417" s="1"/>
      <c r="M417" s="13" t="str" cm="1">
        <f t="array" ref="M417">IF($A417="","",IFERROR(TRANSPOSE(_xlfn._xlws.FILTER(Lokale!$C$3:$C$91,Lokale!$B$3:$B$91=$A417)),""))</f>
        <v/>
      </c>
      <c r="AJ417" s="13" t="str" cm="1">
        <f t="array" ref="AJ417">IF($C417="","",IFERROR(TRANSPOSE(_xlfn._xlws.FILTER(Listy!$D$2:$D$60,Listy!$C$2:$C$60=$C417)),""))</f>
        <v/>
      </c>
    </row>
    <row r="418" spans="7:36" ht="25" customHeight="1" x14ac:dyDescent="0.35">
      <c r="G418" s="15" t="str">
        <f t="shared" ref="G418:G481" si="50">IF(OR(E418="",F418=""),"",DATE(YEAR(E418),MONTH(E418)+F418,DAY(E418)))</f>
        <v/>
      </c>
      <c r="H418" s="12" t="str">
        <f t="shared" ref="H418:H481" ca="1" si="51">IF(G418="","",IF(G418&lt;TODAY(),"PO TERMINIE",IF(G418&lt;=TODAY()+14,"DO WYKONANIA","OK")))</f>
        <v/>
      </c>
      <c r="I418" s="14"/>
      <c r="J418" s="1" t="str">
        <f>IF(COUNTA(A418:F2705)=0,"",IF(#REF!="","BRAK PROTOKOŁU","DODANY"))</f>
        <v/>
      </c>
      <c r="K418" s="1"/>
      <c r="M418" s="13" t="str" cm="1">
        <f t="array" ref="M418">IF($A418="","",IFERROR(TRANSPOSE(_xlfn._xlws.FILTER(Lokale!$C$3:$C$91,Lokale!$B$3:$B$91=$A418)),""))</f>
        <v/>
      </c>
      <c r="AJ418" s="13" t="str" cm="1">
        <f t="array" ref="AJ418">IF($C418="","",IFERROR(TRANSPOSE(_xlfn._xlws.FILTER(Listy!$D$2:$D$60,Listy!$C$2:$C$60=$C418)),""))</f>
        <v/>
      </c>
    </row>
    <row r="419" spans="7:36" ht="25" customHeight="1" x14ac:dyDescent="0.35">
      <c r="G419" s="15" t="str">
        <f t="shared" si="50"/>
        <v/>
      </c>
      <c r="H419" s="12" t="str">
        <f t="shared" ca="1" si="51"/>
        <v/>
      </c>
      <c r="I419" s="14"/>
      <c r="J419" s="1" t="str">
        <f>IF(COUNTA(A419:F2706)=0,"",IF(#REF!="","BRAK PROTOKOŁU","DODANY"))</f>
        <v/>
      </c>
      <c r="K419" s="1"/>
      <c r="M419" s="13" t="str" cm="1">
        <f t="array" ref="M419">IF($A419="","",IFERROR(TRANSPOSE(_xlfn._xlws.FILTER(Lokale!$C$3:$C$91,Lokale!$B$3:$B$91=$A419)),""))</f>
        <v/>
      </c>
      <c r="AJ419" s="13" t="str" cm="1">
        <f t="array" ref="AJ419">IF($C419="","",IFERROR(TRANSPOSE(_xlfn._xlws.FILTER(Listy!$D$2:$D$60,Listy!$C$2:$C$60=$C419)),""))</f>
        <v/>
      </c>
    </row>
    <row r="420" spans="7:36" ht="25" customHeight="1" x14ac:dyDescent="0.35">
      <c r="G420" s="15" t="str">
        <f t="shared" si="50"/>
        <v/>
      </c>
      <c r="H420" s="12" t="str">
        <f t="shared" ca="1" si="51"/>
        <v/>
      </c>
      <c r="I420" s="14"/>
      <c r="J420" s="1" t="str">
        <f>IF(COUNTA(A420:F2707)=0,"",IF(#REF!="","BRAK PROTOKOŁU","DODANY"))</f>
        <v/>
      </c>
      <c r="K420" s="1"/>
      <c r="M420" s="13" t="str" cm="1">
        <f t="array" ref="M420">IF($A420="","",IFERROR(TRANSPOSE(_xlfn._xlws.FILTER(Lokale!$C$3:$C$91,Lokale!$B$3:$B$91=$A420)),""))</f>
        <v/>
      </c>
      <c r="AJ420" s="13" t="str" cm="1">
        <f t="array" ref="AJ420">IF($C420="","",IFERROR(TRANSPOSE(_xlfn._xlws.FILTER(Listy!$D$2:$D$60,Listy!$C$2:$C$60=$C420)),""))</f>
        <v/>
      </c>
    </row>
    <row r="421" spans="7:36" ht="25" customHeight="1" x14ac:dyDescent="0.35">
      <c r="G421" s="15" t="str">
        <f t="shared" si="50"/>
        <v/>
      </c>
      <c r="H421" s="12" t="str">
        <f t="shared" ca="1" si="51"/>
        <v/>
      </c>
      <c r="I421" s="14"/>
      <c r="J421" s="1" t="str">
        <f>IF(COUNTA(A421:F2708)=0,"",IF(#REF!="","BRAK PROTOKOŁU","DODANY"))</f>
        <v/>
      </c>
      <c r="K421" s="1"/>
      <c r="M421" s="13" t="str" cm="1">
        <f t="array" ref="M421">IF($A421="","",IFERROR(TRANSPOSE(_xlfn._xlws.FILTER(Lokale!$C$3:$C$91,Lokale!$B$3:$B$91=$A421)),""))</f>
        <v/>
      </c>
      <c r="AJ421" s="13" t="str" cm="1">
        <f t="array" ref="AJ421">IF($C421="","",IFERROR(TRANSPOSE(_xlfn._xlws.FILTER(Listy!$D$2:$D$60,Listy!$C$2:$C$60=$C421)),""))</f>
        <v/>
      </c>
    </row>
    <row r="422" spans="7:36" ht="25" customHeight="1" x14ac:dyDescent="0.35">
      <c r="G422" s="15" t="str">
        <f t="shared" si="50"/>
        <v/>
      </c>
      <c r="H422" s="12" t="str">
        <f t="shared" ca="1" si="51"/>
        <v/>
      </c>
      <c r="I422" s="14"/>
      <c r="J422" s="1" t="str">
        <f>IF(COUNTA(A422:F2709)=0,"",IF(#REF!="","BRAK PROTOKOŁU","DODANY"))</f>
        <v/>
      </c>
      <c r="K422" s="1"/>
      <c r="M422" s="13" t="str" cm="1">
        <f t="array" ref="M422">IF($A422="","",IFERROR(TRANSPOSE(_xlfn._xlws.FILTER(Lokale!$C$3:$C$91,Lokale!$B$3:$B$91=$A422)),""))</f>
        <v/>
      </c>
      <c r="AJ422" s="13" t="str" cm="1">
        <f t="array" ref="AJ422">IF($C422="","",IFERROR(TRANSPOSE(_xlfn._xlws.FILTER(Listy!$D$2:$D$60,Listy!$C$2:$C$60=$C422)),""))</f>
        <v/>
      </c>
    </row>
    <row r="423" spans="7:36" ht="25" customHeight="1" x14ac:dyDescent="0.35">
      <c r="G423" s="15" t="str">
        <f t="shared" si="50"/>
        <v/>
      </c>
      <c r="H423" s="12" t="str">
        <f t="shared" ca="1" si="51"/>
        <v/>
      </c>
      <c r="I423" s="14"/>
      <c r="J423" s="1" t="str">
        <f>IF(COUNTA(A423:F2710)=0,"",IF(#REF!="","BRAK PROTOKOŁU","DODANY"))</f>
        <v/>
      </c>
      <c r="K423" s="1"/>
      <c r="M423" s="13" t="str" cm="1">
        <f t="array" ref="M423">IF($A423="","",IFERROR(TRANSPOSE(_xlfn._xlws.FILTER(Lokale!$C$3:$C$91,Lokale!$B$3:$B$91=$A423)),""))</f>
        <v/>
      </c>
      <c r="AJ423" s="13" t="str" cm="1">
        <f t="array" ref="AJ423">IF($C423="","",IFERROR(TRANSPOSE(_xlfn._xlws.FILTER(Listy!$D$2:$D$60,Listy!$C$2:$C$60=$C423)),""))</f>
        <v/>
      </c>
    </row>
    <row r="424" spans="7:36" ht="25" customHeight="1" x14ac:dyDescent="0.35">
      <c r="G424" s="15" t="str">
        <f t="shared" si="50"/>
        <v/>
      </c>
      <c r="H424" s="12" t="str">
        <f t="shared" ca="1" si="51"/>
        <v/>
      </c>
      <c r="I424" s="14"/>
      <c r="J424" s="1" t="str">
        <f>IF(COUNTA(A424:F2711)=0,"",IF(#REF!="","BRAK PROTOKOŁU","DODANY"))</f>
        <v/>
      </c>
      <c r="K424" s="1"/>
      <c r="M424" s="13" t="str" cm="1">
        <f t="array" ref="M424">IF($A424="","",IFERROR(TRANSPOSE(_xlfn._xlws.FILTER(Lokale!$C$3:$C$91,Lokale!$B$3:$B$91=$A424)),""))</f>
        <v/>
      </c>
      <c r="AJ424" s="13" t="str" cm="1">
        <f t="array" ref="AJ424">IF($C424="","",IFERROR(TRANSPOSE(_xlfn._xlws.FILTER(Listy!$D$2:$D$60,Listy!$C$2:$C$60=$C424)),""))</f>
        <v/>
      </c>
    </row>
    <row r="425" spans="7:36" ht="25" customHeight="1" x14ac:dyDescent="0.35">
      <c r="G425" s="15" t="str">
        <f t="shared" si="50"/>
        <v/>
      </c>
      <c r="H425" s="12" t="str">
        <f t="shared" ca="1" si="51"/>
        <v/>
      </c>
      <c r="I425" s="14"/>
      <c r="J425" s="1" t="str">
        <f>IF(COUNTA(A425:F2712)=0,"",IF(#REF!="","BRAK PROTOKOŁU","DODANY"))</f>
        <v/>
      </c>
      <c r="K425" s="1"/>
      <c r="M425" s="13" t="str" cm="1">
        <f t="array" ref="M425">IF($A425="","",IFERROR(TRANSPOSE(_xlfn._xlws.FILTER(Lokale!$C$3:$C$91,Lokale!$B$3:$B$91=$A425)),""))</f>
        <v/>
      </c>
      <c r="AJ425" s="13" t="str" cm="1">
        <f t="array" ref="AJ425">IF($C425="","",IFERROR(TRANSPOSE(_xlfn._xlws.FILTER(Listy!$D$2:$D$60,Listy!$C$2:$C$60=$C425)),""))</f>
        <v/>
      </c>
    </row>
    <row r="426" spans="7:36" ht="25" customHeight="1" x14ac:dyDescent="0.35">
      <c r="G426" s="15" t="str">
        <f t="shared" si="50"/>
        <v/>
      </c>
      <c r="H426" s="12" t="str">
        <f t="shared" ca="1" si="51"/>
        <v/>
      </c>
      <c r="I426" s="14"/>
      <c r="J426" s="1" t="str">
        <f>IF(COUNTA(A426:F2713)=0,"",IF(#REF!="","BRAK PROTOKOŁU","DODANY"))</f>
        <v/>
      </c>
      <c r="K426" s="1"/>
      <c r="M426" s="13" t="str" cm="1">
        <f t="array" ref="M426">IF($A426="","",IFERROR(TRANSPOSE(_xlfn._xlws.FILTER(Lokale!$C$3:$C$91,Lokale!$B$3:$B$91=$A426)),""))</f>
        <v/>
      </c>
      <c r="AJ426" s="13" t="str" cm="1">
        <f t="array" ref="AJ426">IF($C426="","",IFERROR(TRANSPOSE(_xlfn._xlws.FILTER(Listy!$D$2:$D$60,Listy!$C$2:$C$60=$C426)),""))</f>
        <v/>
      </c>
    </row>
    <row r="427" spans="7:36" ht="25" customHeight="1" x14ac:dyDescent="0.35">
      <c r="G427" s="15" t="str">
        <f t="shared" si="50"/>
        <v/>
      </c>
      <c r="H427" s="12" t="str">
        <f t="shared" ca="1" si="51"/>
        <v/>
      </c>
      <c r="I427" s="14"/>
      <c r="J427" s="1" t="str">
        <f>IF(COUNTA(A427:F2714)=0,"",IF(#REF!="","BRAK PROTOKOŁU","DODANY"))</f>
        <v/>
      </c>
      <c r="K427" s="1"/>
      <c r="M427" s="13" t="str" cm="1">
        <f t="array" ref="M427">IF($A427="","",IFERROR(TRANSPOSE(_xlfn._xlws.FILTER(Lokale!$C$3:$C$91,Lokale!$B$3:$B$91=$A427)),""))</f>
        <v/>
      </c>
      <c r="AJ427" s="13" t="str" cm="1">
        <f t="array" ref="AJ427">IF($C427="","",IFERROR(TRANSPOSE(_xlfn._xlws.FILTER(Listy!$D$2:$D$60,Listy!$C$2:$C$60=$C427)),""))</f>
        <v/>
      </c>
    </row>
    <row r="428" spans="7:36" ht="25" customHeight="1" x14ac:dyDescent="0.35">
      <c r="G428" s="15" t="str">
        <f t="shared" si="50"/>
        <v/>
      </c>
      <c r="H428" s="12" t="str">
        <f t="shared" ca="1" si="51"/>
        <v/>
      </c>
      <c r="I428" s="14"/>
      <c r="J428" s="1" t="str">
        <f>IF(COUNTA(A428:F2715)=0,"",IF(#REF!="","BRAK PROTOKOŁU","DODANY"))</f>
        <v/>
      </c>
      <c r="K428" s="1"/>
      <c r="M428" s="13" t="str" cm="1">
        <f t="array" ref="M428">IF($A428="","",IFERROR(TRANSPOSE(_xlfn._xlws.FILTER(Lokale!$C$3:$C$91,Lokale!$B$3:$B$91=$A428)),""))</f>
        <v/>
      </c>
      <c r="AJ428" s="13" t="str" cm="1">
        <f t="array" ref="AJ428">IF($C428="","",IFERROR(TRANSPOSE(_xlfn._xlws.FILTER(Listy!$D$2:$D$60,Listy!$C$2:$C$60=$C428)),""))</f>
        <v/>
      </c>
    </row>
    <row r="429" spans="7:36" ht="25" customHeight="1" x14ac:dyDescent="0.35">
      <c r="G429" s="15" t="str">
        <f t="shared" si="50"/>
        <v/>
      </c>
      <c r="H429" s="12" t="str">
        <f t="shared" ca="1" si="51"/>
        <v/>
      </c>
      <c r="I429" s="14"/>
      <c r="J429" s="1" t="str">
        <f>IF(COUNTA(A429:F2716)=0,"",IF(#REF!="","BRAK PROTOKOŁU","DODANY"))</f>
        <v/>
      </c>
      <c r="K429" s="1"/>
      <c r="M429" s="13" t="str" cm="1">
        <f t="array" ref="M429">IF($A429="","",IFERROR(TRANSPOSE(_xlfn._xlws.FILTER(Lokale!$C$3:$C$91,Lokale!$B$3:$B$91=$A429)),""))</f>
        <v/>
      </c>
      <c r="AJ429" s="13" t="str" cm="1">
        <f t="array" ref="AJ429">IF($C429="","",IFERROR(TRANSPOSE(_xlfn._xlws.FILTER(Listy!$D$2:$D$60,Listy!$C$2:$C$60=$C429)),""))</f>
        <v/>
      </c>
    </row>
    <row r="430" spans="7:36" ht="25" customHeight="1" x14ac:dyDescent="0.35">
      <c r="G430" s="15" t="str">
        <f t="shared" si="50"/>
        <v/>
      </c>
      <c r="H430" s="12" t="str">
        <f t="shared" ca="1" si="51"/>
        <v/>
      </c>
      <c r="I430" s="14"/>
      <c r="J430" s="1" t="str">
        <f>IF(COUNTA(A430:F2717)=0,"",IF(#REF!="","BRAK PROTOKOŁU","DODANY"))</f>
        <v/>
      </c>
      <c r="K430" s="1"/>
      <c r="M430" s="13" t="str" cm="1">
        <f t="array" ref="M430">IF($A430="","",IFERROR(TRANSPOSE(_xlfn._xlws.FILTER(Lokale!$C$3:$C$91,Lokale!$B$3:$B$91=$A430)),""))</f>
        <v/>
      </c>
      <c r="AJ430" s="13" t="str" cm="1">
        <f t="array" ref="AJ430">IF($C430="","",IFERROR(TRANSPOSE(_xlfn._xlws.FILTER(Listy!$D$2:$D$60,Listy!$C$2:$C$60=$C430)),""))</f>
        <v/>
      </c>
    </row>
    <row r="431" spans="7:36" ht="25" customHeight="1" x14ac:dyDescent="0.35">
      <c r="G431" s="15" t="str">
        <f t="shared" si="50"/>
        <v/>
      </c>
      <c r="H431" s="12" t="str">
        <f t="shared" ca="1" si="51"/>
        <v/>
      </c>
      <c r="I431" s="14"/>
      <c r="J431" s="1" t="str">
        <f>IF(COUNTA(A431:F2718)=0,"",IF(#REF!="","BRAK PROTOKOŁU","DODANY"))</f>
        <v/>
      </c>
      <c r="K431" s="1"/>
      <c r="M431" s="13" t="str" cm="1">
        <f t="array" ref="M431">IF($A431="","",IFERROR(TRANSPOSE(_xlfn._xlws.FILTER(Lokale!$C$3:$C$91,Lokale!$B$3:$B$91=$A431)),""))</f>
        <v/>
      </c>
      <c r="AJ431" s="13" t="str" cm="1">
        <f t="array" ref="AJ431">IF($C431="","",IFERROR(TRANSPOSE(_xlfn._xlws.FILTER(Listy!$D$2:$D$60,Listy!$C$2:$C$60=$C431)),""))</f>
        <v/>
      </c>
    </row>
    <row r="432" spans="7:36" ht="25" customHeight="1" x14ac:dyDescent="0.35">
      <c r="G432" s="15" t="str">
        <f t="shared" si="50"/>
        <v/>
      </c>
      <c r="H432" s="12" t="str">
        <f t="shared" ca="1" si="51"/>
        <v/>
      </c>
      <c r="I432" s="14"/>
      <c r="J432" s="1" t="str">
        <f>IF(COUNTA(A432:F2719)=0,"",IF(#REF!="","BRAK PROTOKOŁU","DODANY"))</f>
        <v/>
      </c>
      <c r="K432" s="1"/>
      <c r="M432" s="13" t="str" cm="1">
        <f t="array" ref="M432">IF($A432="","",IFERROR(TRANSPOSE(_xlfn._xlws.FILTER(Lokale!$C$3:$C$91,Lokale!$B$3:$B$91=$A432)),""))</f>
        <v/>
      </c>
      <c r="AJ432" s="13" t="str" cm="1">
        <f t="array" ref="AJ432">IF($C432="","",IFERROR(TRANSPOSE(_xlfn._xlws.FILTER(Listy!$D$2:$D$60,Listy!$C$2:$C$60=$C432)),""))</f>
        <v/>
      </c>
    </row>
    <row r="433" spans="7:36" ht="25" customHeight="1" x14ac:dyDescent="0.35">
      <c r="G433" s="15" t="str">
        <f t="shared" si="50"/>
        <v/>
      </c>
      <c r="H433" s="12" t="str">
        <f t="shared" ca="1" si="51"/>
        <v/>
      </c>
      <c r="I433" s="14"/>
      <c r="J433" s="1" t="str">
        <f>IF(COUNTA(A433:F2720)=0,"",IF(#REF!="","BRAK PROTOKOŁU","DODANY"))</f>
        <v/>
      </c>
      <c r="K433" s="1"/>
      <c r="M433" s="13" t="str" cm="1">
        <f t="array" ref="M433">IF($A433="","",IFERROR(TRANSPOSE(_xlfn._xlws.FILTER(Lokale!$C$3:$C$91,Lokale!$B$3:$B$91=$A433)),""))</f>
        <v/>
      </c>
      <c r="AJ433" s="13" t="str" cm="1">
        <f t="array" ref="AJ433">IF($C433="","",IFERROR(TRANSPOSE(_xlfn._xlws.FILTER(Listy!$D$2:$D$60,Listy!$C$2:$C$60=$C433)),""))</f>
        <v/>
      </c>
    </row>
    <row r="434" spans="7:36" ht="25" customHeight="1" x14ac:dyDescent="0.35">
      <c r="G434" s="15" t="str">
        <f t="shared" si="50"/>
        <v/>
      </c>
      <c r="H434" s="12" t="str">
        <f t="shared" ca="1" si="51"/>
        <v/>
      </c>
      <c r="I434" s="14"/>
      <c r="J434" s="1" t="str">
        <f>IF(COUNTA(A434:F2721)=0,"",IF(#REF!="","BRAK PROTOKOŁU","DODANY"))</f>
        <v/>
      </c>
      <c r="K434" s="1"/>
      <c r="M434" s="13" t="str" cm="1">
        <f t="array" ref="M434">IF($A434="","",IFERROR(TRANSPOSE(_xlfn._xlws.FILTER(Lokale!$C$3:$C$91,Lokale!$B$3:$B$91=$A434)),""))</f>
        <v/>
      </c>
      <c r="AJ434" s="13" t="str" cm="1">
        <f t="array" ref="AJ434">IF($C434="","",IFERROR(TRANSPOSE(_xlfn._xlws.FILTER(Listy!$D$2:$D$60,Listy!$C$2:$C$60=$C434)),""))</f>
        <v/>
      </c>
    </row>
    <row r="435" spans="7:36" ht="25" customHeight="1" x14ac:dyDescent="0.35">
      <c r="G435" s="15" t="str">
        <f t="shared" si="50"/>
        <v/>
      </c>
      <c r="H435" s="12" t="str">
        <f t="shared" ca="1" si="51"/>
        <v/>
      </c>
      <c r="I435" s="14"/>
      <c r="J435" s="1" t="str">
        <f>IF(COUNTA(A435:F2722)=0,"",IF(#REF!="","BRAK PROTOKOŁU","DODANY"))</f>
        <v/>
      </c>
      <c r="K435" s="1"/>
      <c r="M435" s="13" t="str" cm="1">
        <f t="array" ref="M435">IF($A435="","",IFERROR(TRANSPOSE(_xlfn._xlws.FILTER(Lokale!$C$3:$C$91,Lokale!$B$3:$B$91=$A435)),""))</f>
        <v/>
      </c>
      <c r="AJ435" s="13" t="str" cm="1">
        <f t="array" ref="AJ435">IF($C435="","",IFERROR(TRANSPOSE(_xlfn._xlws.FILTER(Listy!$D$2:$D$60,Listy!$C$2:$C$60=$C435)),""))</f>
        <v/>
      </c>
    </row>
    <row r="436" spans="7:36" ht="25" customHeight="1" x14ac:dyDescent="0.35">
      <c r="G436" s="15" t="str">
        <f t="shared" si="50"/>
        <v/>
      </c>
      <c r="H436" s="12" t="str">
        <f t="shared" ca="1" si="51"/>
        <v/>
      </c>
      <c r="I436" s="14"/>
      <c r="J436" s="1" t="str">
        <f>IF(COUNTA(A436:F2723)=0,"",IF(#REF!="","BRAK PROTOKOŁU","DODANY"))</f>
        <v/>
      </c>
      <c r="K436" s="1"/>
      <c r="M436" s="13" t="str" cm="1">
        <f t="array" ref="M436">IF($A436="","",IFERROR(TRANSPOSE(_xlfn._xlws.FILTER(Lokale!$C$3:$C$91,Lokale!$B$3:$B$91=$A436)),""))</f>
        <v/>
      </c>
      <c r="AJ436" s="13" t="str" cm="1">
        <f t="array" ref="AJ436">IF($C436="","",IFERROR(TRANSPOSE(_xlfn._xlws.FILTER(Listy!$D$2:$D$60,Listy!$C$2:$C$60=$C436)),""))</f>
        <v/>
      </c>
    </row>
    <row r="437" spans="7:36" ht="25" customHeight="1" x14ac:dyDescent="0.35">
      <c r="G437" s="15" t="str">
        <f t="shared" si="50"/>
        <v/>
      </c>
      <c r="H437" s="12" t="str">
        <f t="shared" ca="1" si="51"/>
        <v/>
      </c>
      <c r="I437" s="14"/>
      <c r="J437" s="1" t="str">
        <f>IF(COUNTA(A437:F2724)=0,"",IF(#REF!="","BRAK PROTOKOŁU","DODANY"))</f>
        <v/>
      </c>
      <c r="K437" s="1"/>
      <c r="M437" s="13" t="str" cm="1">
        <f t="array" ref="M437">IF($A437="","",IFERROR(TRANSPOSE(_xlfn._xlws.FILTER(Lokale!$C$3:$C$91,Lokale!$B$3:$B$91=$A437)),""))</f>
        <v/>
      </c>
      <c r="AJ437" s="13" t="str" cm="1">
        <f t="array" ref="AJ437">IF($C437="","",IFERROR(TRANSPOSE(_xlfn._xlws.FILTER(Listy!$D$2:$D$60,Listy!$C$2:$C$60=$C437)),""))</f>
        <v/>
      </c>
    </row>
    <row r="438" spans="7:36" ht="25" customHeight="1" x14ac:dyDescent="0.35">
      <c r="G438" s="15" t="str">
        <f t="shared" si="50"/>
        <v/>
      </c>
      <c r="H438" s="12" t="str">
        <f t="shared" ca="1" si="51"/>
        <v/>
      </c>
      <c r="I438" s="14"/>
      <c r="J438" s="1" t="str">
        <f>IF(COUNTA(A438:F2725)=0,"",IF(#REF!="","BRAK PROTOKOŁU","DODANY"))</f>
        <v/>
      </c>
      <c r="K438" s="1"/>
      <c r="M438" s="13" t="str" cm="1">
        <f t="array" ref="M438">IF($A438="","",IFERROR(TRANSPOSE(_xlfn._xlws.FILTER(Lokale!$C$3:$C$91,Lokale!$B$3:$B$91=$A438)),""))</f>
        <v/>
      </c>
      <c r="AJ438" s="13" t="str" cm="1">
        <f t="array" ref="AJ438">IF($C438="","",IFERROR(TRANSPOSE(_xlfn._xlws.FILTER(Listy!$D$2:$D$60,Listy!$C$2:$C$60=$C438)),""))</f>
        <v/>
      </c>
    </row>
    <row r="439" spans="7:36" ht="25" customHeight="1" x14ac:dyDescent="0.35">
      <c r="G439" s="15" t="str">
        <f t="shared" si="50"/>
        <v/>
      </c>
      <c r="H439" s="12" t="str">
        <f t="shared" ca="1" si="51"/>
        <v/>
      </c>
      <c r="I439" s="14"/>
      <c r="J439" s="1" t="str">
        <f>IF(COUNTA(A439:F2726)=0,"",IF(#REF!="","BRAK PROTOKOŁU","DODANY"))</f>
        <v/>
      </c>
      <c r="K439" s="1"/>
      <c r="M439" s="13" t="str" cm="1">
        <f t="array" ref="M439">IF($A439="","",IFERROR(TRANSPOSE(_xlfn._xlws.FILTER(Lokale!$C$3:$C$91,Lokale!$B$3:$B$91=$A439)),""))</f>
        <v/>
      </c>
      <c r="AJ439" s="13" t="str" cm="1">
        <f t="array" ref="AJ439">IF($C439="","",IFERROR(TRANSPOSE(_xlfn._xlws.FILTER(Listy!$D$2:$D$60,Listy!$C$2:$C$60=$C439)),""))</f>
        <v/>
      </c>
    </row>
    <row r="440" spans="7:36" ht="25" customHeight="1" x14ac:dyDescent="0.35">
      <c r="G440" s="15" t="str">
        <f t="shared" si="50"/>
        <v/>
      </c>
      <c r="H440" s="12" t="str">
        <f t="shared" ca="1" si="51"/>
        <v/>
      </c>
      <c r="I440" s="14"/>
      <c r="J440" s="1" t="str">
        <f>IF(COUNTA(A440:F2727)=0,"",IF(#REF!="","BRAK PROTOKOŁU","DODANY"))</f>
        <v/>
      </c>
      <c r="K440" s="1"/>
      <c r="M440" s="13" t="str" cm="1">
        <f t="array" ref="M440">IF($A440="","",IFERROR(TRANSPOSE(_xlfn._xlws.FILTER(Lokale!$C$3:$C$91,Lokale!$B$3:$B$91=$A440)),""))</f>
        <v/>
      </c>
      <c r="AJ440" s="13" t="str" cm="1">
        <f t="array" ref="AJ440">IF($C440="","",IFERROR(TRANSPOSE(_xlfn._xlws.FILTER(Listy!$D$2:$D$60,Listy!$C$2:$C$60=$C440)),""))</f>
        <v/>
      </c>
    </row>
    <row r="441" spans="7:36" ht="25" customHeight="1" x14ac:dyDescent="0.35">
      <c r="G441" s="15" t="str">
        <f t="shared" si="50"/>
        <v/>
      </c>
      <c r="H441" s="12" t="str">
        <f t="shared" ca="1" si="51"/>
        <v/>
      </c>
      <c r="I441" s="14"/>
      <c r="J441" s="1" t="str">
        <f>IF(COUNTA(A441:F2728)=0,"",IF(#REF!="","BRAK PROTOKOŁU","DODANY"))</f>
        <v/>
      </c>
      <c r="K441" s="1"/>
      <c r="M441" s="13" t="str" cm="1">
        <f t="array" ref="M441">IF($A441="","",IFERROR(TRANSPOSE(_xlfn._xlws.FILTER(Lokale!$C$3:$C$91,Lokale!$B$3:$B$91=$A441)),""))</f>
        <v/>
      </c>
      <c r="AJ441" s="13" t="str" cm="1">
        <f t="array" ref="AJ441">IF($C441="","",IFERROR(TRANSPOSE(_xlfn._xlws.FILTER(Listy!$D$2:$D$60,Listy!$C$2:$C$60=$C441)),""))</f>
        <v/>
      </c>
    </row>
    <row r="442" spans="7:36" ht="25" customHeight="1" x14ac:dyDescent="0.35">
      <c r="G442" s="15" t="str">
        <f t="shared" si="50"/>
        <v/>
      </c>
      <c r="H442" s="12" t="str">
        <f t="shared" ca="1" si="51"/>
        <v/>
      </c>
      <c r="I442" s="14"/>
      <c r="J442" s="1" t="str">
        <f>IF(COUNTA(A442:F2729)=0,"",IF(#REF!="","BRAK PROTOKOŁU","DODANY"))</f>
        <v/>
      </c>
      <c r="K442" s="1"/>
      <c r="M442" s="13" t="str" cm="1">
        <f t="array" ref="M442">IF($A442="","",IFERROR(TRANSPOSE(_xlfn._xlws.FILTER(Lokale!$C$3:$C$91,Lokale!$B$3:$B$91=$A442)),""))</f>
        <v/>
      </c>
      <c r="AJ442" s="13" t="str" cm="1">
        <f t="array" ref="AJ442">IF($C442="","",IFERROR(TRANSPOSE(_xlfn._xlws.FILTER(Listy!$D$2:$D$60,Listy!$C$2:$C$60=$C442)),""))</f>
        <v/>
      </c>
    </row>
    <row r="443" spans="7:36" ht="25" customHeight="1" x14ac:dyDescent="0.35">
      <c r="G443" s="15" t="str">
        <f t="shared" si="50"/>
        <v/>
      </c>
      <c r="H443" s="12" t="str">
        <f t="shared" ca="1" si="51"/>
        <v/>
      </c>
      <c r="I443" s="14"/>
      <c r="J443" s="1" t="str">
        <f>IF(COUNTA(A443:F2730)=0,"",IF(#REF!="","BRAK PROTOKOŁU","DODANY"))</f>
        <v/>
      </c>
      <c r="K443" s="1"/>
      <c r="M443" s="13" t="str" cm="1">
        <f t="array" ref="M443">IF($A443="","",IFERROR(TRANSPOSE(_xlfn._xlws.FILTER(Lokale!$C$3:$C$91,Lokale!$B$3:$B$91=$A443)),""))</f>
        <v/>
      </c>
      <c r="AJ443" s="13" t="str" cm="1">
        <f t="array" ref="AJ443">IF($C443="","",IFERROR(TRANSPOSE(_xlfn._xlws.FILTER(Listy!$D$2:$D$60,Listy!$C$2:$C$60=$C443)),""))</f>
        <v/>
      </c>
    </row>
    <row r="444" spans="7:36" ht="25" customHeight="1" x14ac:dyDescent="0.35">
      <c r="G444" s="15" t="str">
        <f t="shared" si="50"/>
        <v/>
      </c>
      <c r="H444" s="12" t="str">
        <f t="shared" ca="1" si="51"/>
        <v/>
      </c>
      <c r="I444" s="14"/>
      <c r="J444" s="1" t="str">
        <f>IF(COUNTA(A444:F2731)=0,"",IF(#REF!="","BRAK PROTOKOŁU","DODANY"))</f>
        <v/>
      </c>
      <c r="K444" s="1"/>
      <c r="M444" s="13" t="str" cm="1">
        <f t="array" ref="M444">IF($A444="","",IFERROR(TRANSPOSE(_xlfn._xlws.FILTER(Lokale!$C$3:$C$91,Lokale!$B$3:$B$91=$A444)),""))</f>
        <v/>
      </c>
      <c r="AJ444" s="13" t="str" cm="1">
        <f t="array" ref="AJ444">IF($C444="","",IFERROR(TRANSPOSE(_xlfn._xlws.FILTER(Listy!$D$2:$D$60,Listy!$C$2:$C$60=$C444)),""))</f>
        <v/>
      </c>
    </row>
    <row r="445" spans="7:36" ht="25" customHeight="1" x14ac:dyDescent="0.35">
      <c r="G445" s="15" t="str">
        <f t="shared" si="50"/>
        <v/>
      </c>
      <c r="H445" s="12" t="str">
        <f t="shared" ca="1" si="51"/>
        <v/>
      </c>
      <c r="I445" s="14"/>
      <c r="J445" s="1" t="str">
        <f>IF(COUNTA(A445:F2732)=0,"",IF(#REF!="","BRAK PROTOKOŁU","DODANY"))</f>
        <v/>
      </c>
      <c r="K445" s="1"/>
      <c r="M445" s="13" t="str" cm="1">
        <f t="array" ref="M445">IF($A445="","",IFERROR(TRANSPOSE(_xlfn._xlws.FILTER(Lokale!$C$3:$C$91,Lokale!$B$3:$B$91=$A445)),""))</f>
        <v/>
      </c>
      <c r="AJ445" s="13" t="str" cm="1">
        <f t="array" ref="AJ445">IF($C445="","",IFERROR(TRANSPOSE(_xlfn._xlws.FILTER(Listy!$D$2:$D$60,Listy!$C$2:$C$60=$C445)),""))</f>
        <v/>
      </c>
    </row>
    <row r="446" spans="7:36" ht="25" customHeight="1" x14ac:dyDescent="0.35">
      <c r="G446" s="15" t="str">
        <f t="shared" si="50"/>
        <v/>
      </c>
      <c r="H446" s="12" t="str">
        <f t="shared" ca="1" si="51"/>
        <v/>
      </c>
      <c r="I446" s="14"/>
      <c r="J446" s="1" t="str">
        <f>IF(COUNTA(A446:F2733)=0,"",IF(#REF!="","BRAK PROTOKOŁU","DODANY"))</f>
        <v/>
      </c>
      <c r="K446" s="1"/>
      <c r="M446" s="13" t="str" cm="1">
        <f t="array" ref="M446">IF($A446="","",IFERROR(TRANSPOSE(_xlfn._xlws.FILTER(Lokale!$C$3:$C$91,Lokale!$B$3:$B$91=$A446)),""))</f>
        <v/>
      </c>
      <c r="AJ446" s="13" t="str" cm="1">
        <f t="array" ref="AJ446">IF($C446="","",IFERROR(TRANSPOSE(_xlfn._xlws.FILTER(Listy!$D$2:$D$60,Listy!$C$2:$C$60=$C446)),""))</f>
        <v/>
      </c>
    </row>
    <row r="447" spans="7:36" ht="25" customHeight="1" x14ac:dyDescent="0.35">
      <c r="G447" s="15" t="str">
        <f t="shared" si="50"/>
        <v/>
      </c>
      <c r="H447" s="12" t="str">
        <f t="shared" ca="1" si="51"/>
        <v/>
      </c>
      <c r="I447" s="14"/>
      <c r="J447" s="1" t="str">
        <f>IF(COUNTA(A447:F2734)=0,"",IF(#REF!="","BRAK PROTOKOŁU","DODANY"))</f>
        <v/>
      </c>
      <c r="K447" s="1"/>
      <c r="M447" s="13" t="str" cm="1">
        <f t="array" ref="M447">IF($A447="","",IFERROR(TRANSPOSE(_xlfn._xlws.FILTER(Lokale!$C$3:$C$91,Lokale!$B$3:$B$91=$A447)),""))</f>
        <v/>
      </c>
      <c r="AJ447" s="13" t="str" cm="1">
        <f t="array" ref="AJ447">IF($C447="","",IFERROR(TRANSPOSE(_xlfn._xlws.FILTER(Listy!$D$2:$D$60,Listy!$C$2:$C$60=$C447)),""))</f>
        <v/>
      </c>
    </row>
    <row r="448" spans="7:36" ht="25" customHeight="1" x14ac:dyDescent="0.35">
      <c r="G448" s="15" t="str">
        <f t="shared" si="50"/>
        <v/>
      </c>
      <c r="H448" s="12" t="str">
        <f t="shared" ca="1" si="51"/>
        <v/>
      </c>
      <c r="I448" s="14"/>
      <c r="J448" s="1" t="str">
        <f>IF(COUNTA(A448:F2735)=0,"",IF(#REF!="","BRAK PROTOKOŁU","DODANY"))</f>
        <v/>
      </c>
      <c r="K448" s="1"/>
      <c r="M448" s="13" t="str" cm="1">
        <f t="array" ref="M448">IF($A448="","",IFERROR(TRANSPOSE(_xlfn._xlws.FILTER(Lokale!$C$3:$C$91,Lokale!$B$3:$B$91=$A448)),""))</f>
        <v/>
      </c>
      <c r="AJ448" s="13" t="str" cm="1">
        <f t="array" ref="AJ448">IF($C448="","",IFERROR(TRANSPOSE(_xlfn._xlws.FILTER(Listy!$D$2:$D$60,Listy!$C$2:$C$60=$C448)),""))</f>
        <v/>
      </c>
    </row>
    <row r="449" spans="7:36" ht="25" customHeight="1" x14ac:dyDescent="0.35">
      <c r="G449" s="15" t="str">
        <f t="shared" si="50"/>
        <v/>
      </c>
      <c r="H449" s="12" t="str">
        <f t="shared" ca="1" si="51"/>
        <v/>
      </c>
      <c r="I449" s="14"/>
      <c r="J449" s="1" t="str">
        <f>IF(COUNTA(A449:F2736)=0,"",IF(#REF!="","BRAK PROTOKOŁU","DODANY"))</f>
        <v/>
      </c>
      <c r="K449" s="1"/>
      <c r="M449" s="13" t="str" cm="1">
        <f t="array" ref="M449">IF($A449="","",IFERROR(TRANSPOSE(_xlfn._xlws.FILTER(Lokale!$C$3:$C$91,Lokale!$B$3:$B$91=$A449)),""))</f>
        <v/>
      </c>
      <c r="AJ449" s="13" t="str" cm="1">
        <f t="array" ref="AJ449">IF($C449="","",IFERROR(TRANSPOSE(_xlfn._xlws.FILTER(Listy!$D$2:$D$60,Listy!$C$2:$C$60=$C449)),""))</f>
        <v/>
      </c>
    </row>
    <row r="450" spans="7:36" ht="25" customHeight="1" x14ac:dyDescent="0.35">
      <c r="G450" s="15" t="str">
        <f t="shared" si="50"/>
        <v/>
      </c>
      <c r="H450" s="12" t="str">
        <f t="shared" ca="1" si="51"/>
        <v/>
      </c>
      <c r="I450" s="14"/>
      <c r="J450" s="1" t="str">
        <f>IF(COUNTA(A450:F2737)=0,"",IF(#REF!="","BRAK PROTOKOŁU","DODANY"))</f>
        <v/>
      </c>
      <c r="K450" s="1"/>
      <c r="M450" s="13" t="str" cm="1">
        <f t="array" ref="M450">IF($A450="","",IFERROR(TRANSPOSE(_xlfn._xlws.FILTER(Lokale!$C$3:$C$91,Lokale!$B$3:$B$91=$A450)),""))</f>
        <v/>
      </c>
      <c r="AJ450" s="13" t="str" cm="1">
        <f t="array" ref="AJ450">IF($C450="","",IFERROR(TRANSPOSE(_xlfn._xlws.FILTER(Listy!$D$2:$D$60,Listy!$C$2:$C$60=$C450)),""))</f>
        <v/>
      </c>
    </row>
    <row r="451" spans="7:36" ht="25" customHeight="1" x14ac:dyDescent="0.35">
      <c r="G451" s="15" t="str">
        <f t="shared" si="50"/>
        <v/>
      </c>
      <c r="H451" s="12" t="str">
        <f t="shared" ca="1" si="51"/>
        <v/>
      </c>
      <c r="I451" s="14"/>
      <c r="J451" s="1" t="str">
        <f>IF(COUNTA(A451:F2738)=0,"",IF(#REF!="","BRAK PROTOKOŁU","DODANY"))</f>
        <v/>
      </c>
      <c r="K451" s="1"/>
      <c r="M451" s="13" t="str" cm="1">
        <f t="array" ref="M451">IF($A451="","",IFERROR(TRANSPOSE(_xlfn._xlws.FILTER(Lokale!$C$3:$C$91,Lokale!$B$3:$B$91=$A451)),""))</f>
        <v/>
      </c>
      <c r="AJ451" s="13" t="str" cm="1">
        <f t="array" ref="AJ451">IF($C451="","",IFERROR(TRANSPOSE(_xlfn._xlws.FILTER(Listy!$D$2:$D$60,Listy!$C$2:$C$60=$C451)),""))</f>
        <v/>
      </c>
    </row>
    <row r="452" spans="7:36" ht="25" customHeight="1" x14ac:dyDescent="0.35">
      <c r="G452" s="15" t="str">
        <f t="shared" si="50"/>
        <v/>
      </c>
      <c r="H452" s="12" t="str">
        <f t="shared" ca="1" si="51"/>
        <v/>
      </c>
      <c r="I452" s="14"/>
      <c r="J452" s="1" t="str">
        <f>IF(COUNTA(A452:F2739)=0,"",IF(#REF!="","BRAK PROTOKOŁU","DODANY"))</f>
        <v/>
      </c>
      <c r="K452" s="1"/>
      <c r="M452" s="13" t="str" cm="1">
        <f t="array" ref="M452">IF($A452="","",IFERROR(TRANSPOSE(_xlfn._xlws.FILTER(Lokale!$C$3:$C$91,Lokale!$B$3:$B$91=$A452)),""))</f>
        <v/>
      </c>
      <c r="AJ452" s="13" t="str" cm="1">
        <f t="array" ref="AJ452">IF($C452="","",IFERROR(TRANSPOSE(_xlfn._xlws.FILTER(Listy!$D$2:$D$60,Listy!$C$2:$C$60=$C452)),""))</f>
        <v/>
      </c>
    </row>
    <row r="453" spans="7:36" ht="25" customHeight="1" x14ac:dyDescent="0.35">
      <c r="G453" s="15" t="str">
        <f t="shared" si="50"/>
        <v/>
      </c>
      <c r="H453" s="12" t="str">
        <f t="shared" ca="1" si="51"/>
        <v/>
      </c>
      <c r="I453" s="14"/>
      <c r="J453" s="1" t="str">
        <f>IF(COUNTA(A453:F2740)=0,"",IF(#REF!="","BRAK PROTOKOŁU","DODANY"))</f>
        <v/>
      </c>
      <c r="K453" s="1"/>
      <c r="M453" s="13" t="str" cm="1">
        <f t="array" ref="M453">IF($A453="","",IFERROR(TRANSPOSE(_xlfn._xlws.FILTER(Lokale!$C$3:$C$91,Lokale!$B$3:$B$91=$A453)),""))</f>
        <v/>
      </c>
      <c r="AJ453" s="13" t="str" cm="1">
        <f t="array" ref="AJ453">IF($C453="","",IFERROR(TRANSPOSE(_xlfn._xlws.FILTER(Listy!$D$2:$D$60,Listy!$C$2:$C$60=$C453)),""))</f>
        <v/>
      </c>
    </row>
    <row r="454" spans="7:36" ht="25" customHeight="1" x14ac:dyDescent="0.35">
      <c r="G454" s="15" t="str">
        <f t="shared" si="50"/>
        <v/>
      </c>
      <c r="H454" s="12" t="str">
        <f t="shared" ca="1" si="51"/>
        <v/>
      </c>
      <c r="I454" s="14"/>
      <c r="J454" s="1" t="str">
        <f>IF(COUNTA(A454:F2741)=0,"",IF(#REF!="","BRAK PROTOKOŁU","DODANY"))</f>
        <v/>
      </c>
      <c r="K454" s="1"/>
      <c r="M454" s="13" t="str" cm="1">
        <f t="array" ref="M454">IF($A454="","",IFERROR(TRANSPOSE(_xlfn._xlws.FILTER(Lokale!$C$3:$C$91,Lokale!$B$3:$B$91=$A454)),""))</f>
        <v/>
      </c>
      <c r="AJ454" s="13" t="str" cm="1">
        <f t="array" ref="AJ454">IF($C454="","",IFERROR(TRANSPOSE(_xlfn._xlws.FILTER(Listy!$D$2:$D$60,Listy!$C$2:$C$60=$C454)),""))</f>
        <v/>
      </c>
    </row>
    <row r="455" spans="7:36" ht="25" customHeight="1" x14ac:dyDescent="0.35">
      <c r="G455" s="15" t="str">
        <f t="shared" si="50"/>
        <v/>
      </c>
      <c r="H455" s="12" t="str">
        <f t="shared" ca="1" si="51"/>
        <v/>
      </c>
      <c r="I455" s="14"/>
      <c r="J455" s="1" t="str">
        <f>IF(COUNTA(A455:F2742)=0,"",IF(#REF!="","BRAK PROTOKOŁU","DODANY"))</f>
        <v/>
      </c>
      <c r="K455" s="1"/>
      <c r="M455" s="13" t="str" cm="1">
        <f t="array" ref="M455">IF($A455="","",IFERROR(TRANSPOSE(_xlfn._xlws.FILTER(Lokale!$C$3:$C$91,Lokale!$B$3:$B$91=$A455)),""))</f>
        <v/>
      </c>
      <c r="AJ455" s="13" t="str" cm="1">
        <f t="array" ref="AJ455">IF($C455="","",IFERROR(TRANSPOSE(_xlfn._xlws.FILTER(Listy!$D$2:$D$60,Listy!$C$2:$C$60=$C455)),""))</f>
        <v/>
      </c>
    </row>
    <row r="456" spans="7:36" ht="25" customHeight="1" x14ac:dyDescent="0.35">
      <c r="G456" s="15" t="str">
        <f t="shared" si="50"/>
        <v/>
      </c>
      <c r="H456" s="12" t="str">
        <f t="shared" ca="1" si="51"/>
        <v/>
      </c>
      <c r="I456" s="14"/>
      <c r="J456" s="1" t="str">
        <f>IF(COUNTA(A456:F2743)=0,"",IF(#REF!="","BRAK PROTOKOŁU","DODANY"))</f>
        <v/>
      </c>
      <c r="K456" s="1"/>
      <c r="M456" s="13" t="str" cm="1">
        <f t="array" ref="M456">IF($A456="","",IFERROR(TRANSPOSE(_xlfn._xlws.FILTER(Lokale!$C$3:$C$91,Lokale!$B$3:$B$91=$A456)),""))</f>
        <v/>
      </c>
      <c r="AJ456" s="13" t="str" cm="1">
        <f t="array" ref="AJ456">IF($C456="","",IFERROR(TRANSPOSE(_xlfn._xlws.FILTER(Listy!$D$2:$D$60,Listy!$C$2:$C$60=$C456)),""))</f>
        <v/>
      </c>
    </row>
    <row r="457" spans="7:36" ht="25" customHeight="1" x14ac:dyDescent="0.35">
      <c r="G457" s="15" t="str">
        <f t="shared" si="50"/>
        <v/>
      </c>
      <c r="H457" s="12" t="str">
        <f t="shared" ca="1" si="51"/>
        <v/>
      </c>
      <c r="I457" s="14"/>
      <c r="J457" s="1" t="str">
        <f>IF(COUNTA(A457:F2744)=0,"",IF(#REF!="","BRAK PROTOKOŁU","DODANY"))</f>
        <v/>
      </c>
      <c r="K457" s="1"/>
      <c r="M457" s="13" t="str" cm="1">
        <f t="array" ref="M457">IF($A457="","",IFERROR(TRANSPOSE(_xlfn._xlws.FILTER(Lokale!$C$3:$C$91,Lokale!$B$3:$B$91=$A457)),""))</f>
        <v/>
      </c>
      <c r="AJ457" s="13" t="str" cm="1">
        <f t="array" ref="AJ457">IF($C457="","",IFERROR(TRANSPOSE(_xlfn._xlws.FILTER(Listy!$D$2:$D$60,Listy!$C$2:$C$60=$C457)),""))</f>
        <v/>
      </c>
    </row>
    <row r="458" spans="7:36" ht="25" customHeight="1" x14ac:dyDescent="0.35">
      <c r="G458" s="15" t="str">
        <f t="shared" si="50"/>
        <v/>
      </c>
      <c r="H458" s="12" t="str">
        <f t="shared" ca="1" si="51"/>
        <v/>
      </c>
      <c r="I458" s="14"/>
      <c r="J458" s="1" t="str">
        <f>IF(COUNTA(A458:F2745)=0,"",IF(#REF!="","BRAK PROTOKOŁU","DODANY"))</f>
        <v/>
      </c>
      <c r="K458" s="1"/>
      <c r="M458" s="13" t="str" cm="1">
        <f t="array" ref="M458">IF($A458="","",IFERROR(TRANSPOSE(_xlfn._xlws.FILTER(Lokale!$C$3:$C$91,Lokale!$B$3:$B$91=$A458)),""))</f>
        <v/>
      </c>
      <c r="AJ458" s="13" t="str" cm="1">
        <f t="array" ref="AJ458">IF($C458="","",IFERROR(TRANSPOSE(_xlfn._xlws.FILTER(Listy!$D$2:$D$60,Listy!$C$2:$C$60=$C458)),""))</f>
        <v/>
      </c>
    </row>
    <row r="459" spans="7:36" ht="25" customHeight="1" x14ac:dyDescent="0.35">
      <c r="G459" s="15" t="str">
        <f t="shared" si="50"/>
        <v/>
      </c>
      <c r="H459" s="12" t="str">
        <f t="shared" ca="1" si="51"/>
        <v/>
      </c>
      <c r="I459" s="14"/>
      <c r="J459" s="1" t="str">
        <f>IF(COUNTA(A459:F2746)=0,"",IF(#REF!="","BRAK PROTOKOŁU","DODANY"))</f>
        <v/>
      </c>
      <c r="K459" s="1"/>
      <c r="M459" s="13" t="str" cm="1">
        <f t="array" ref="M459">IF($A459="","",IFERROR(TRANSPOSE(_xlfn._xlws.FILTER(Lokale!$C$3:$C$91,Lokale!$B$3:$B$91=$A459)),""))</f>
        <v/>
      </c>
      <c r="AJ459" s="13" t="str" cm="1">
        <f t="array" ref="AJ459">IF($C459="","",IFERROR(TRANSPOSE(_xlfn._xlws.FILTER(Listy!$D$2:$D$60,Listy!$C$2:$C$60=$C459)),""))</f>
        <v/>
      </c>
    </row>
    <row r="460" spans="7:36" ht="25" customHeight="1" x14ac:dyDescent="0.35">
      <c r="G460" s="15" t="str">
        <f t="shared" si="50"/>
        <v/>
      </c>
      <c r="H460" s="12" t="str">
        <f t="shared" ca="1" si="51"/>
        <v/>
      </c>
      <c r="I460" s="14"/>
      <c r="J460" s="1" t="str">
        <f>IF(COUNTA(A460:F2747)=0,"",IF(#REF!="","BRAK PROTOKOŁU","DODANY"))</f>
        <v/>
      </c>
      <c r="K460" s="1"/>
      <c r="M460" s="13" t="str" cm="1">
        <f t="array" ref="M460">IF($A460="","",IFERROR(TRANSPOSE(_xlfn._xlws.FILTER(Lokale!$C$3:$C$91,Lokale!$B$3:$B$91=$A460)),""))</f>
        <v/>
      </c>
      <c r="AJ460" s="13" t="str" cm="1">
        <f t="array" ref="AJ460">IF($C460="","",IFERROR(TRANSPOSE(_xlfn._xlws.FILTER(Listy!$D$2:$D$60,Listy!$C$2:$C$60=$C460)),""))</f>
        <v/>
      </c>
    </row>
    <row r="461" spans="7:36" ht="25" customHeight="1" x14ac:dyDescent="0.35">
      <c r="G461" s="15" t="str">
        <f t="shared" si="50"/>
        <v/>
      </c>
      <c r="H461" s="12" t="str">
        <f t="shared" ca="1" si="51"/>
        <v/>
      </c>
      <c r="I461" s="14"/>
      <c r="J461" s="1" t="str">
        <f>IF(COUNTA(A461:F2748)=0,"",IF(#REF!="","BRAK PROTOKOŁU","DODANY"))</f>
        <v/>
      </c>
      <c r="K461" s="1"/>
      <c r="M461" s="13" t="str" cm="1">
        <f t="array" ref="M461">IF($A461="","",IFERROR(TRANSPOSE(_xlfn._xlws.FILTER(Lokale!$C$3:$C$91,Lokale!$B$3:$B$91=$A461)),""))</f>
        <v/>
      </c>
      <c r="AJ461" s="13" t="str" cm="1">
        <f t="array" ref="AJ461">IF($C461="","",IFERROR(TRANSPOSE(_xlfn._xlws.FILTER(Listy!$D$2:$D$60,Listy!$C$2:$C$60=$C461)),""))</f>
        <v/>
      </c>
    </row>
    <row r="462" spans="7:36" ht="25" customHeight="1" x14ac:dyDescent="0.35">
      <c r="G462" s="15" t="str">
        <f t="shared" si="50"/>
        <v/>
      </c>
      <c r="H462" s="12" t="str">
        <f t="shared" ca="1" si="51"/>
        <v/>
      </c>
      <c r="I462" s="14"/>
      <c r="J462" s="1" t="str">
        <f>IF(COUNTA(A462:F2749)=0,"",IF(#REF!="","BRAK PROTOKOŁU","DODANY"))</f>
        <v/>
      </c>
      <c r="K462" s="1"/>
      <c r="M462" s="13" t="str" cm="1">
        <f t="array" ref="M462">IF($A462="","",IFERROR(TRANSPOSE(_xlfn._xlws.FILTER(Lokale!$C$3:$C$91,Lokale!$B$3:$B$91=$A462)),""))</f>
        <v/>
      </c>
      <c r="AJ462" s="13" t="str" cm="1">
        <f t="array" ref="AJ462">IF($C462="","",IFERROR(TRANSPOSE(_xlfn._xlws.FILTER(Listy!$D$2:$D$60,Listy!$C$2:$C$60=$C462)),""))</f>
        <v/>
      </c>
    </row>
    <row r="463" spans="7:36" ht="25" customHeight="1" x14ac:dyDescent="0.35">
      <c r="G463" s="15" t="str">
        <f t="shared" si="50"/>
        <v/>
      </c>
      <c r="H463" s="12" t="str">
        <f t="shared" ca="1" si="51"/>
        <v/>
      </c>
      <c r="I463" s="14"/>
      <c r="J463" s="1" t="str">
        <f>IF(COUNTA(A463:F2750)=0,"",IF(#REF!="","BRAK PROTOKOŁU","DODANY"))</f>
        <v/>
      </c>
      <c r="K463" s="1"/>
      <c r="M463" s="13" t="str" cm="1">
        <f t="array" ref="M463">IF($A463="","",IFERROR(TRANSPOSE(_xlfn._xlws.FILTER(Lokale!$C$3:$C$91,Lokale!$B$3:$B$91=$A463)),""))</f>
        <v/>
      </c>
      <c r="AJ463" s="13" t="str" cm="1">
        <f t="array" ref="AJ463">IF($C463="","",IFERROR(TRANSPOSE(_xlfn._xlws.FILTER(Listy!$D$2:$D$60,Listy!$C$2:$C$60=$C463)),""))</f>
        <v/>
      </c>
    </row>
    <row r="464" spans="7:36" ht="25" customHeight="1" x14ac:dyDescent="0.35">
      <c r="G464" s="15" t="str">
        <f t="shared" si="50"/>
        <v/>
      </c>
      <c r="H464" s="12" t="str">
        <f t="shared" ca="1" si="51"/>
        <v/>
      </c>
      <c r="I464" s="14"/>
      <c r="J464" s="1" t="str">
        <f>IF(COUNTA(A464:F2751)=0,"",IF(#REF!="","BRAK PROTOKOŁU","DODANY"))</f>
        <v/>
      </c>
      <c r="K464" s="1"/>
      <c r="M464" s="13" t="str" cm="1">
        <f t="array" ref="M464">IF($A464="","",IFERROR(TRANSPOSE(_xlfn._xlws.FILTER(Lokale!$C$3:$C$91,Lokale!$B$3:$B$91=$A464)),""))</f>
        <v/>
      </c>
      <c r="AJ464" s="13" t="str" cm="1">
        <f t="array" ref="AJ464">IF($C464="","",IFERROR(TRANSPOSE(_xlfn._xlws.FILTER(Listy!$D$2:$D$60,Listy!$C$2:$C$60=$C464)),""))</f>
        <v/>
      </c>
    </row>
    <row r="465" spans="7:36" ht="25" customHeight="1" x14ac:dyDescent="0.35">
      <c r="G465" s="15" t="str">
        <f t="shared" si="50"/>
        <v/>
      </c>
      <c r="H465" s="12" t="str">
        <f t="shared" ca="1" si="51"/>
        <v/>
      </c>
      <c r="I465" s="14"/>
      <c r="J465" s="1" t="str">
        <f>IF(COUNTA(A465:F2752)=0,"",IF(#REF!="","BRAK PROTOKOŁU","DODANY"))</f>
        <v/>
      </c>
      <c r="K465" s="1"/>
      <c r="M465" s="13" t="str" cm="1">
        <f t="array" ref="M465">IF($A465="","",IFERROR(TRANSPOSE(_xlfn._xlws.FILTER(Lokale!$C$3:$C$91,Lokale!$B$3:$B$91=$A465)),""))</f>
        <v/>
      </c>
      <c r="AJ465" s="13" t="str" cm="1">
        <f t="array" ref="AJ465">IF($C465="","",IFERROR(TRANSPOSE(_xlfn._xlws.FILTER(Listy!$D$2:$D$60,Listy!$C$2:$C$60=$C465)),""))</f>
        <v/>
      </c>
    </row>
    <row r="466" spans="7:36" ht="25" customHeight="1" x14ac:dyDescent="0.35">
      <c r="G466" s="15" t="str">
        <f t="shared" si="50"/>
        <v/>
      </c>
      <c r="H466" s="12" t="str">
        <f t="shared" ca="1" si="51"/>
        <v/>
      </c>
      <c r="I466" s="14"/>
      <c r="J466" s="1" t="str">
        <f>IF(COUNTA(A466:F2753)=0,"",IF(#REF!="","BRAK PROTOKOŁU","DODANY"))</f>
        <v/>
      </c>
      <c r="K466" s="1"/>
      <c r="M466" s="13" t="str" cm="1">
        <f t="array" ref="M466">IF($A466="","",IFERROR(TRANSPOSE(_xlfn._xlws.FILTER(Lokale!$C$3:$C$91,Lokale!$B$3:$B$91=$A466)),""))</f>
        <v/>
      </c>
      <c r="AJ466" s="13" t="str" cm="1">
        <f t="array" ref="AJ466">IF($C466="","",IFERROR(TRANSPOSE(_xlfn._xlws.FILTER(Listy!$D$2:$D$60,Listy!$C$2:$C$60=$C466)),""))</f>
        <v/>
      </c>
    </row>
    <row r="467" spans="7:36" ht="25" customHeight="1" x14ac:dyDescent="0.35">
      <c r="G467" s="15" t="str">
        <f t="shared" si="50"/>
        <v/>
      </c>
      <c r="H467" s="12" t="str">
        <f t="shared" ca="1" si="51"/>
        <v/>
      </c>
      <c r="I467" s="14"/>
      <c r="J467" s="1" t="str">
        <f>IF(COUNTA(A467:F2754)=0,"",IF(#REF!="","BRAK PROTOKOŁU","DODANY"))</f>
        <v/>
      </c>
      <c r="K467" s="1"/>
      <c r="M467" s="13" t="str" cm="1">
        <f t="array" ref="M467">IF($A467="","",IFERROR(TRANSPOSE(_xlfn._xlws.FILTER(Lokale!$C$3:$C$91,Lokale!$B$3:$B$91=$A467)),""))</f>
        <v/>
      </c>
      <c r="AJ467" s="13" t="str" cm="1">
        <f t="array" ref="AJ467">IF($C467="","",IFERROR(TRANSPOSE(_xlfn._xlws.FILTER(Listy!$D$2:$D$60,Listy!$C$2:$C$60=$C467)),""))</f>
        <v/>
      </c>
    </row>
    <row r="468" spans="7:36" ht="25" customHeight="1" x14ac:dyDescent="0.35">
      <c r="G468" s="15" t="str">
        <f t="shared" si="50"/>
        <v/>
      </c>
      <c r="H468" s="12" t="str">
        <f t="shared" ca="1" si="51"/>
        <v/>
      </c>
      <c r="I468" s="14"/>
      <c r="J468" s="1" t="str">
        <f>IF(COUNTA(A468:F2755)=0,"",IF(#REF!="","BRAK PROTOKOŁU","DODANY"))</f>
        <v/>
      </c>
      <c r="K468" s="1"/>
      <c r="M468" s="13" t="str" cm="1">
        <f t="array" ref="M468">IF($A468="","",IFERROR(TRANSPOSE(_xlfn._xlws.FILTER(Lokale!$C$3:$C$91,Lokale!$B$3:$B$91=$A468)),""))</f>
        <v/>
      </c>
      <c r="AJ468" s="13" t="str" cm="1">
        <f t="array" ref="AJ468">IF($C468="","",IFERROR(TRANSPOSE(_xlfn._xlws.FILTER(Listy!$D$2:$D$60,Listy!$C$2:$C$60=$C468)),""))</f>
        <v/>
      </c>
    </row>
    <row r="469" spans="7:36" ht="25" customHeight="1" x14ac:dyDescent="0.35">
      <c r="G469" s="15" t="str">
        <f t="shared" si="50"/>
        <v/>
      </c>
      <c r="H469" s="12" t="str">
        <f t="shared" ca="1" si="51"/>
        <v/>
      </c>
      <c r="I469" s="14"/>
      <c r="J469" s="1" t="str">
        <f>IF(COUNTA(A469:F2756)=0,"",IF(#REF!="","BRAK PROTOKOŁU","DODANY"))</f>
        <v/>
      </c>
      <c r="K469" s="1"/>
      <c r="M469" s="13" t="str" cm="1">
        <f t="array" ref="M469">IF($A469="","",IFERROR(TRANSPOSE(_xlfn._xlws.FILTER(Lokale!$C$3:$C$91,Lokale!$B$3:$B$91=$A469)),""))</f>
        <v/>
      </c>
      <c r="AJ469" s="13" t="str" cm="1">
        <f t="array" ref="AJ469">IF($C469="","",IFERROR(TRANSPOSE(_xlfn._xlws.FILTER(Listy!$D$2:$D$60,Listy!$C$2:$C$60=$C469)),""))</f>
        <v/>
      </c>
    </row>
    <row r="470" spans="7:36" ht="25" customHeight="1" x14ac:dyDescent="0.35">
      <c r="G470" s="15" t="str">
        <f t="shared" si="50"/>
        <v/>
      </c>
      <c r="H470" s="12" t="str">
        <f t="shared" ca="1" si="51"/>
        <v/>
      </c>
      <c r="I470" s="14"/>
      <c r="J470" s="1" t="str">
        <f>IF(COUNTA(A470:F2757)=0,"",IF(#REF!="","BRAK PROTOKOŁU","DODANY"))</f>
        <v/>
      </c>
      <c r="K470" s="1"/>
      <c r="M470" s="13" t="str" cm="1">
        <f t="array" ref="M470">IF($A470="","",IFERROR(TRANSPOSE(_xlfn._xlws.FILTER(Lokale!$C$3:$C$91,Lokale!$B$3:$B$91=$A470)),""))</f>
        <v/>
      </c>
      <c r="AJ470" s="13" t="str" cm="1">
        <f t="array" ref="AJ470">IF($C470="","",IFERROR(TRANSPOSE(_xlfn._xlws.FILTER(Listy!$D$2:$D$60,Listy!$C$2:$C$60=$C470)),""))</f>
        <v/>
      </c>
    </row>
    <row r="471" spans="7:36" ht="25" customHeight="1" x14ac:dyDescent="0.35">
      <c r="G471" s="15" t="str">
        <f t="shared" si="50"/>
        <v/>
      </c>
      <c r="H471" s="12" t="str">
        <f t="shared" ca="1" si="51"/>
        <v/>
      </c>
      <c r="I471" s="14"/>
      <c r="J471" s="1" t="str">
        <f>IF(COUNTA(A471:F2758)=0,"",IF(#REF!="","BRAK PROTOKOŁU","DODANY"))</f>
        <v/>
      </c>
      <c r="K471" s="1"/>
      <c r="M471" s="13" t="str" cm="1">
        <f t="array" ref="M471">IF($A471="","",IFERROR(TRANSPOSE(_xlfn._xlws.FILTER(Lokale!$C$3:$C$91,Lokale!$B$3:$B$91=$A471)),""))</f>
        <v/>
      </c>
      <c r="AJ471" s="13" t="str" cm="1">
        <f t="array" ref="AJ471">IF($C471="","",IFERROR(TRANSPOSE(_xlfn._xlws.FILTER(Listy!$D$2:$D$60,Listy!$C$2:$C$60=$C471)),""))</f>
        <v/>
      </c>
    </row>
    <row r="472" spans="7:36" ht="25" customHeight="1" x14ac:dyDescent="0.35">
      <c r="G472" s="15" t="str">
        <f t="shared" si="50"/>
        <v/>
      </c>
      <c r="H472" s="12" t="str">
        <f t="shared" ca="1" si="51"/>
        <v/>
      </c>
      <c r="I472" s="14"/>
      <c r="J472" s="1" t="str">
        <f>IF(COUNTA(A472:F2759)=0,"",IF(#REF!="","BRAK PROTOKOŁU","DODANY"))</f>
        <v/>
      </c>
      <c r="K472" s="1"/>
      <c r="M472" s="13" t="str" cm="1">
        <f t="array" ref="M472">IF($A472="","",IFERROR(TRANSPOSE(_xlfn._xlws.FILTER(Lokale!$C$3:$C$91,Lokale!$B$3:$B$91=$A472)),""))</f>
        <v/>
      </c>
      <c r="AJ472" s="13" t="str" cm="1">
        <f t="array" ref="AJ472">IF($C472="","",IFERROR(TRANSPOSE(_xlfn._xlws.FILTER(Listy!$D$2:$D$60,Listy!$C$2:$C$60=$C472)),""))</f>
        <v/>
      </c>
    </row>
    <row r="473" spans="7:36" ht="25" customHeight="1" x14ac:dyDescent="0.35">
      <c r="G473" s="15" t="str">
        <f t="shared" si="50"/>
        <v/>
      </c>
      <c r="H473" s="12" t="str">
        <f t="shared" ca="1" si="51"/>
        <v/>
      </c>
      <c r="I473" s="14"/>
      <c r="J473" s="1" t="str">
        <f>IF(COUNTA(A473:F2760)=0,"",IF(#REF!="","BRAK PROTOKOŁU","DODANY"))</f>
        <v/>
      </c>
      <c r="K473" s="1"/>
      <c r="M473" s="13" t="str" cm="1">
        <f t="array" ref="M473">IF($A473="","",IFERROR(TRANSPOSE(_xlfn._xlws.FILTER(Lokale!$C$3:$C$91,Lokale!$B$3:$B$91=$A473)),""))</f>
        <v/>
      </c>
      <c r="AJ473" s="13" t="str" cm="1">
        <f t="array" ref="AJ473">IF($C473="","",IFERROR(TRANSPOSE(_xlfn._xlws.FILTER(Listy!$D$2:$D$60,Listy!$C$2:$C$60=$C473)),""))</f>
        <v/>
      </c>
    </row>
    <row r="474" spans="7:36" ht="25" customHeight="1" x14ac:dyDescent="0.35">
      <c r="G474" s="15" t="str">
        <f t="shared" si="50"/>
        <v/>
      </c>
      <c r="H474" s="12" t="str">
        <f t="shared" ca="1" si="51"/>
        <v/>
      </c>
      <c r="I474" s="14"/>
      <c r="J474" s="1" t="str">
        <f>IF(COUNTA(A474:F2761)=0,"",IF(#REF!="","BRAK PROTOKOŁU","DODANY"))</f>
        <v/>
      </c>
      <c r="K474" s="1"/>
      <c r="M474" s="13" t="str" cm="1">
        <f t="array" ref="M474">IF($A474="","",IFERROR(TRANSPOSE(_xlfn._xlws.FILTER(Lokale!$C$3:$C$91,Lokale!$B$3:$B$91=$A474)),""))</f>
        <v/>
      </c>
      <c r="AJ474" s="13" t="str" cm="1">
        <f t="array" ref="AJ474">IF($C474="","",IFERROR(TRANSPOSE(_xlfn._xlws.FILTER(Listy!$D$2:$D$60,Listy!$C$2:$C$60=$C474)),""))</f>
        <v/>
      </c>
    </row>
    <row r="475" spans="7:36" ht="25" customHeight="1" x14ac:dyDescent="0.35">
      <c r="G475" s="15" t="str">
        <f t="shared" si="50"/>
        <v/>
      </c>
      <c r="H475" s="12" t="str">
        <f t="shared" ca="1" si="51"/>
        <v/>
      </c>
      <c r="I475" s="14"/>
      <c r="J475" s="1" t="str">
        <f>IF(COUNTA(A475:F2762)=0,"",IF(#REF!="","BRAK PROTOKOŁU","DODANY"))</f>
        <v/>
      </c>
      <c r="K475" s="1"/>
      <c r="M475" s="13" t="str" cm="1">
        <f t="array" ref="M475">IF($A475="","",IFERROR(TRANSPOSE(_xlfn._xlws.FILTER(Lokale!$C$3:$C$91,Lokale!$B$3:$B$91=$A475)),""))</f>
        <v/>
      </c>
      <c r="AJ475" s="13" t="str" cm="1">
        <f t="array" ref="AJ475">IF($C475="","",IFERROR(TRANSPOSE(_xlfn._xlws.FILTER(Listy!$D$2:$D$60,Listy!$C$2:$C$60=$C475)),""))</f>
        <v/>
      </c>
    </row>
    <row r="476" spans="7:36" ht="25" customHeight="1" x14ac:dyDescent="0.35">
      <c r="G476" s="15" t="str">
        <f t="shared" si="50"/>
        <v/>
      </c>
      <c r="H476" s="12" t="str">
        <f t="shared" ca="1" si="51"/>
        <v/>
      </c>
      <c r="I476" s="14"/>
      <c r="J476" s="1" t="str">
        <f>IF(COUNTA(A476:F2763)=0,"",IF(#REF!="","BRAK PROTOKOŁU","DODANY"))</f>
        <v/>
      </c>
      <c r="K476" s="1"/>
      <c r="M476" s="13" t="str" cm="1">
        <f t="array" ref="M476">IF($A476="","",IFERROR(TRANSPOSE(_xlfn._xlws.FILTER(Lokale!$C$3:$C$91,Lokale!$B$3:$B$91=$A476)),""))</f>
        <v/>
      </c>
      <c r="AJ476" s="13" t="str" cm="1">
        <f t="array" ref="AJ476">IF($C476="","",IFERROR(TRANSPOSE(_xlfn._xlws.FILTER(Listy!$D$2:$D$60,Listy!$C$2:$C$60=$C476)),""))</f>
        <v/>
      </c>
    </row>
    <row r="477" spans="7:36" ht="25" customHeight="1" x14ac:dyDescent="0.35">
      <c r="G477" s="15" t="str">
        <f t="shared" si="50"/>
        <v/>
      </c>
      <c r="H477" s="12" t="str">
        <f t="shared" ca="1" si="51"/>
        <v/>
      </c>
      <c r="I477" s="14"/>
      <c r="J477" s="1" t="str">
        <f>IF(COUNTA(A477:F2764)=0,"",IF(#REF!="","BRAK PROTOKOŁU","DODANY"))</f>
        <v/>
      </c>
      <c r="K477" s="1"/>
      <c r="M477" s="13" t="str" cm="1">
        <f t="array" ref="M477">IF($A477="","",IFERROR(TRANSPOSE(_xlfn._xlws.FILTER(Lokale!$C$3:$C$91,Lokale!$B$3:$B$91=$A477)),""))</f>
        <v/>
      </c>
      <c r="AJ477" s="13" t="str" cm="1">
        <f t="array" ref="AJ477">IF($C477="","",IFERROR(TRANSPOSE(_xlfn._xlws.FILTER(Listy!$D$2:$D$60,Listy!$C$2:$C$60=$C477)),""))</f>
        <v/>
      </c>
    </row>
    <row r="478" spans="7:36" ht="25" customHeight="1" x14ac:dyDescent="0.35">
      <c r="G478" s="15" t="str">
        <f t="shared" si="50"/>
        <v/>
      </c>
      <c r="H478" s="12" t="str">
        <f t="shared" ca="1" si="51"/>
        <v/>
      </c>
      <c r="I478" s="14"/>
      <c r="J478" s="1" t="str">
        <f>IF(COUNTA(A478:F2765)=0,"",IF(#REF!="","BRAK PROTOKOŁU","DODANY"))</f>
        <v/>
      </c>
      <c r="K478" s="1"/>
      <c r="M478" s="13" t="str" cm="1">
        <f t="array" ref="M478">IF($A478="","",IFERROR(TRANSPOSE(_xlfn._xlws.FILTER(Lokale!$C$3:$C$91,Lokale!$B$3:$B$91=$A478)),""))</f>
        <v/>
      </c>
      <c r="AJ478" s="13" t="str" cm="1">
        <f t="array" ref="AJ478">IF($C478="","",IFERROR(TRANSPOSE(_xlfn._xlws.FILTER(Listy!$D$2:$D$60,Listy!$C$2:$C$60=$C478)),""))</f>
        <v/>
      </c>
    </row>
    <row r="479" spans="7:36" ht="25" customHeight="1" x14ac:dyDescent="0.35">
      <c r="G479" s="15" t="str">
        <f t="shared" si="50"/>
        <v/>
      </c>
      <c r="H479" s="12" t="str">
        <f t="shared" ca="1" si="51"/>
        <v/>
      </c>
      <c r="I479" s="14"/>
      <c r="J479" s="1" t="str">
        <f>IF(COUNTA(A479:F2766)=0,"",IF(#REF!="","BRAK PROTOKOŁU","DODANY"))</f>
        <v/>
      </c>
      <c r="K479" s="1"/>
      <c r="M479" s="13" t="str" cm="1">
        <f t="array" ref="M479">IF($A479="","",IFERROR(TRANSPOSE(_xlfn._xlws.FILTER(Lokale!$C$3:$C$91,Lokale!$B$3:$B$91=$A479)),""))</f>
        <v/>
      </c>
      <c r="AJ479" s="13" t="str" cm="1">
        <f t="array" ref="AJ479">IF($C479="","",IFERROR(TRANSPOSE(_xlfn._xlws.FILTER(Listy!$D$2:$D$60,Listy!$C$2:$C$60=$C479)),""))</f>
        <v/>
      </c>
    </row>
    <row r="480" spans="7:36" ht="25" customHeight="1" x14ac:dyDescent="0.35">
      <c r="G480" s="15" t="str">
        <f t="shared" si="50"/>
        <v/>
      </c>
      <c r="H480" s="12" t="str">
        <f t="shared" ca="1" si="51"/>
        <v/>
      </c>
      <c r="I480" s="14"/>
      <c r="J480" s="1" t="str">
        <f>IF(COUNTA(A480:F2767)=0,"",IF(#REF!="","BRAK PROTOKOŁU","DODANY"))</f>
        <v/>
      </c>
      <c r="K480" s="1"/>
      <c r="M480" s="13" t="str" cm="1">
        <f t="array" ref="M480">IF($A480="","",IFERROR(TRANSPOSE(_xlfn._xlws.FILTER(Lokale!$C$3:$C$91,Lokale!$B$3:$B$91=$A480)),""))</f>
        <v/>
      </c>
      <c r="AJ480" s="13" t="str" cm="1">
        <f t="array" ref="AJ480">IF($C480="","",IFERROR(TRANSPOSE(_xlfn._xlws.FILTER(Listy!$D$2:$D$60,Listy!$C$2:$C$60=$C480)),""))</f>
        <v/>
      </c>
    </row>
    <row r="481" spans="7:36" ht="25" customHeight="1" x14ac:dyDescent="0.35">
      <c r="G481" s="15" t="str">
        <f t="shared" si="50"/>
        <v/>
      </c>
      <c r="H481" s="12" t="str">
        <f t="shared" ca="1" si="51"/>
        <v/>
      </c>
      <c r="I481" s="14"/>
      <c r="J481" s="1" t="str">
        <f>IF(COUNTA(A481:F2768)=0,"",IF(#REF!="","BRAK PROTOKOŁU","DODANY"))</f>
        <v/>
      </c>
      <c r="K481" s="1"/>
      <c r="M481" s="13" t="str" cm="1">
        <f t="array" ref="M481">IF($A481="","",IFERROR(TRANSPOSE(_xlfn._xlws.FILTER(Lokale!$C$3:$C$91,Lokale!$B$3:$B$91=$A481)),""))</f>
        <v/>
      </c>
      <c r="AJ481" s="13" t="str" cm="1">
        <f t="array" ref="AJ481">IF($C481="","",IFERROR(TRANSPOSE(_xlfn._xlws.FILTER(Listy!$D$2:$D$60,Listy!$C$2:$C$60=$C481)),""))</f>
        <v/>
      </c>
    </row>
    <row r="482" spans="7:36" ht="25" customHeight="1" x14ac:dyDescent="0.35">
      <c r="G482" s="15" t="str">
        <f t="shared" ref="G482:G545" si="52">IF(OR(E482="",F482=""),"",DATE(YEAR(E482),MONTH(E482)+F482,DAY(E482)))</f>
        <v/>
      </c>
      <c r="H482" s="12" t="str">
        <f t="shared" ref="H482:H545" ca="1" si="53">IF(G482="","",IF(G482&lt;TODAY(),"PO TERMINIE",IF(G482&lt;=TODAY()+14,"DO WYKONANIA","OK")))</f>
        <v/>
      </c>
      <c r="I482" s="14"/>
      <c r="J482" s="1" t="str">
        <f>IF(COUNTA(A482:F2769)=0,"",IF(#REF!="","BRAK PROTOKOŁU","DODANY"))</f>
        <v/>
      </c>
      <c r="K482" s="1"/>
      <c r="M482" s="13" t="str" cm="1">
        <f t="array" ref="M482">IF($A482="","",IFERROR(TRANSPOSE(_xlfn._xlws.FILTER(Lokale!$C$3:$C$91,Lokale!$B$3:$B$91=$A482)),""))</f>
        <v/>
      </c>
      <c r="AJ482" s="13" t="str" cm="1">
        <f t="array" ref="AJ482">IF($C482="","",IFERROR(TRANSPOSE(_xlfn._xlws.FILTER(Listy!$D$2:$D$60,Listy!$C$2:$C$60=$C482)),""))</f>
        <v/>
      </c>
    </row>
    <row r="483" spans="7:36" ht="25" customHeight="1" x14ac:dyDescent="0.35">
      <c r="G483" s="15" t="str">
        <f t="shared" si="52"/>
        <v/>
      </c>
      <c r="H483" s="12" t="str">
        <f t="shared" ca="1" si="53"/>
        <v/>
      </c>
      <c r="I483" s="14"/>
      <c r="J483" s="1" t="str">
        <f>IF(COUNTA(A483:F2770)=0,"",IF(#REF!="","BRAK PROTOKOŁU","DODANY"))</f>
        <v/>
      </c>
      <c r="K483" s="1"/>
      <c r="M483" s="13" t="str" cm="1">
        <f t="array" ref="M483">IF($A483="","",IFERROR(TRANSPOSE(_xlfn._xlws.FILTER(Lokale!$C$3:$C$91,Lokale!$B$3:$B$91=$A483)),""))</f>
        <v/>
      </c>
      <c r="AJ483" s="13" t="str" cm="1">
        <f t="array" ref="AJ483">IF($C483="","",IFERROR(TRANSPOSE(_xlfn._xlws.FILTER(Listy!$D$2:$D$60,Listy!$C$2:$C$60=$C483)),""))</f>
        <v/>
      </c>
    </row>
    <row r="484" spans="7:36" ht="25" customHeight="1" x14ac:dyDescent="0.35">
      <c r="G484" s="15" t="str">
        <f t="shared" si="52"/>
        <v/>
      </c>
      <c r="H484" s="12" t="str">
        <f t="shared" ca="1" si="53"/>
        <v/>
      </c>
      <c r="I484" s="14"/>
      <c r="J484" s="1" t="str">
        <f>IF(COUNTA(A484:F2771)=0,"",IF(#REF!="","BRAK PROTOKOŁU","DODANY"))</f>
        <v/>
      </c>
      <c r="K484" s="1"/>
      <c r="M484" s="13" t="str" cm="1">
        <f t="array" ref="M484">IF($A484="","",IFERROR(TRANSPOSE(_xlfn._xlws.FILTER(Lokale!$C$3:$C$91,Lokale!$B$3:$B$91=$A484)),""))</f>
        <v/>
      </c>
      <c r="AJ484" s="13" t="str" cm="1">
        <f t="array" ref="AJ484">IF($C484="","",IFERROR(TRANSPOSE(_xlfn._xlws.FILTER(Listy!$D$2:$D$60,Listy!$C$2:$C$60=$C484)),""))</f>
        <v/>
      </c>
    </row>
    <row r="485" spans="7:36" ht="25" customHeight="1" x14ac:dyDescent="0.35">
      <c r="G485" s="15" t="str">
        <f t="shared" si="52"/>
        <v/>
      </c>
      <c r="H485" s="12" t="str">
        <f t="shared" ca="1" si="53"/>
        <v/>
      </c>
      <c r="I485" s="14"/>
      <c r="J485" s="1" t="str">
        <f>IF(COUNTA(A485:F2772)=0,"",IF(#REF!="","BRAK PROTOKOŁU","DODANY"))</f>
        <v/>
      </c>
      <c r="K485" s="1"/>
      <c r="M485" s="13" t="str" cm="1">
        <f t="array" ref="M485">IF($A485="","",IFERROR(TRANSPOSE(_xlfn._xlws.FILTER(Lokale!$C$3:$C$91,Lokale!$B$3:$B$91=$A485)),""))</f>
        <v/>
      </c>
      <c r="AJ485" s="13" t="str" cm="1">
        <f t="array" ref="AJ485">IF($C485="","",IFERROR(TRANSPOSE(_xlfn._xlws.FILTER(Listy!$D$2:$D$60,Listy!$C$2:$C$60=$C485)),""))</f>
        <v/>
      </c>
    </row>
    <row r="486" spans="7:36" ht="25" customHeight="1" x14ac:dyDescent="0.35">
      <c r="G486" s="15" t="str">
        <f t="shared" si="52"/>
        <v/>
      </c>
      <c r="H486" s="12" t="str">
        <f t="shared" ca="1" si="53"/>
        <v/>
      </c>
      <c r="I486" s="14"/>
      <c r="J486" s="1" t="str">
        <f>IF(COUNTA(A486:F2773)=0,"",IF(#REF!="","BRAK PROTOKOŁU","DODANY"))</f>
        <v/>
      </c>
      <c r="K486" s="1"/>
      <c r="M486" s="13" t="str" cm="1">
        <f t="array" ref="M486">IF($A486="","",IFERROR(TRANSPOSE(_xlfn._xlws.FILTER(Lokale!$C$3:$C$91,Lokale!$B$3:$B$91=$A486)),""))</f>
        <v/>
      </c>
      <c r="AJ486" s="13" t="str" cm="1">
        <f t="array" ref="AJ486">IF($C486="","",IFERROR(TRANSPOSE(_xlfn._xlws.FILTER(Listy!$D$2:$D$60,Listy!$C$2:$C$60=$C486)),""))</f>
        <v/>
      </c>
    </row>
    <row r="487" spans="7:36" ht="25" customHeight="1" x14ac:dyDescent="0.35">
      <c r="G487" s="15" t="str">
        <f t="shared" si="52"/>
        <v/>
      </c>
      <c r="H487" s="12" t="str">
        <f t="shared" ca="1" si="53"/>
        <v/>
      </c>
      <c r="I487" s="14"/>
      <c r="J487" s="1" t="str">
        <f>IF(COUNTA(A487:F2774)=0,"",IF(#REF!="","BRAK PROTOKOŁU","DODANY"))</f>
        <v/>
      </c>
      <c r="K487" s="1"/>
      <c r="M487" s="13" t="str" cm="1">
        <f t="array" ref="M487">IF($A487="","",IFERROR(TRANSPOSE(_xlfn._xlws.FILTER(Lokale!$C$3:$C$91,Lokale!$B$3:$B$91=$A487)),""))</f>
        <v/>
      </c>
      <c r="AJ487" s="13" t="str" cm="1">
        <f t="array" ref="AJ487">IF($C487="","",IFERROR(TRANSPOSE(_xlfn._xlws.FILTER(Listy!$D$2:$D$60,Listy!$C$2:$C$60=$C487)),""))</f>
        <v/>
      </c>
    </row>
    <row r="488" spans="7:36" ht="25" customHeight="1" x14ac:dyDescent="0.35">
      <c r="G488" s="15" t="str">
        <f t="shared" si="52"/>
        <v/>
      </c>
      <c r="H488" s="12" t="str">
        <f t="shared" ca="1" si="53"/>
        <v/>
      </c>
      <c r="I488" s="14"/>
      <c r="J488" s="1" t="str">
        <f>IF(COUNTA(A488:F2775)=0,"",IF(#REF!="","BRAK PROTOKOŁU","DODANY"))</f>
        <v/>
      </c>
      <c r="K488" s="1"/>
      <c r="M488" s="13" t="str" cm="1">
        <f t="array" ref="M488">IF($A488="","",IFERROR(TRANSPOSE(_xlfn._xlws.FILTER(Lokale!$C$3:$C$91,Lokale!$B$3:$B$91=$A488)),""))</f>
        <v/>
      </c>
      <c r="AJ488" s="13" t="str" cm="1">
        <f t="array" ref="AJ488">IF($C488="","",IFERROR(TRANSPOSE(_xlfn._xlws.FILTER(Listy!$D$2:$D$60,Listy!$C$2:$C$60=$C488)),""))</f>
        <v/>
      </c>
    </row>
    <row r="489" spans="7:36" ht="25" customHeight="1" x14ac:dyDescent="0.35">
      <c r="G489" s="15" t="str">
        <f t="shared" si="52"/>
        <v/>
      </c>
      <c r="H489" s="12" t="str">
        <f t="shared" ca="1" si="53"/>
        <v/>
      </c>
      <c r="I489" s="14"/>
      <c r="J489" s="1" t="str">
        <f>IF(COUNTA(A489:F2776)=0,"",IF(#REF!="","BRAK PROTOKOŁU","DODANY"))</f>
        <v/>
      </c>
      <c r="K489" s="1"/>
      <c r="M489" s="13" t="str" cm="1">
        <f t="array" ref="M489">IF($A489="","",IFERROR(TRANSPOSE(_xlfn._xlws.FILTER(Lokale!$C$3:$C$91,Lokale!$B$3:$B$91=$A489)),""))</f>
        <v/>
      </c>
      <c r="AJ489" s="13" t="str" cm="1">
        <f t="array" ref="AJ489">IF($C489="","",IFERROR(TRANSPOSE(_xlfn._xlws.FILTER(Listy!$D$2:$D$60,Listy!$C$2:$C$60=$C489)),""))</f>
        <v/>
      </c>
    </row>
    <row r="490" spans="7:36" ht="25" customHeight="1" x14ac:dyDescent="0.35">
      <c r="G490" s="15" t="str">
        <f t="shared" si="52"/>
        <v/>
      </c>
      <c r="H490" s="12" t="str">
        <f t="shared" ca="1" si="53"/>
        <v/>
      </c>
      <c r="I490" s="14"/>
      <c r="J490" s="1" t="str">
        <f>IF(COUNTA(A490:F2777)=0,"",IF(#REF!="","BRAK PROTOKOŁU","DODANY"))</f>
        <v/>
      </c>
      <c r="K490" s="1"/>
      <c r="M490" s="13" t="str" cm="1">
        <f t="array" ref="M490">IF($A490="","",IFERROR(TRANSPOSE(_xlfn._xlws.FILTER(Lokale!$C$3:$C$91,Lokale!$B$3:$B$91=$A490)),""))</f>
        <v/>
      </c>
      <c r="AJ490" s="13" t="str" cm="1">
        <f t="array" ref="AJ490">IF($C490="","",IFERROR(TRANSPOSE(_xlfn._xlws.FILTER(Listy!$D$2:$D$60,Listy!$C$2:$C$60=$C490)),""))</f>
        <v/>
      </c>
    </row>
    <row r="491" spans="7:36" ht="25" customHeight="1" x14ac:dyDescent="0.35">
      <c r="G491" s="15" t="str">
        <f t="shared" si="52"/>
        <v/>
      </c>
      <c r="H491" s="12" t="str">
        <f t="shared" ca="1" si="53"/>
        <v/>
      </c>
      <c r="I491" s="14"/>
      <c r="J491" s="1" t="str">
        <f>IF(COUNTA(A491:F2778)=0,"",IF(#REF!="","BRAK PROTOKOŁU","DODANY"))</f>
        <v/>
      </c>
      <c r="K491" s="1"/>
      <c r="M491" s="13" t="str" cm="1">
        <f t="array" ref="M491">IF($A491="","",IFERROR(TRANSPOSE(_xlfn._xlws.FILTER(Lokale!$C$3:$C$91,Lokale!$B$3:$B$91=$A491)),""))</f>
        <v/>
      </c>
      <c r="AJ491" s="13" t="str" cm="1">
        <f t="array" ref="AJ491">IF($C491="","",IFERROR(TRANSPOSE(_xlfn._xlws.FILTER(Listy!$D$2:$D$60,Listy!$C$2:$C$60=$C491)),""))</f>
        <v/>
      </c>
    </row>
    <row r="492" spans="7:36" ht="25" customHeight="1" x14ac:dyDescent="0.35">
      <c r="G492" s="15" t="str">
        <f t="shared" si="52"/>
        <v/>
      </c>
      <c r="H492" s="12" t="str">
        <f t="shared" ca="1" si="53"/>
        <v/>
      </c>
      <c r="I492" s="14"/>
      <c r="J492" s="1" t="str">
        <f>IF(COUNTA(A492:F2779)=0,"",IF(#REF!="","BRAK PROTOKOŁU","DODANY"))</f>
        <v/>
      </c>
      <c r="K492" s="1"/>
      <c r="M492" s="13" t="str" cm="1">
        <f t="array" ref="M492">IF($A492="","",IFERROR(TRANSPOSE(_xlfn._xlws.FILTER(Lokale!$C$3:$C$91,Lokale!$B$3:$B$91=$A492)),""))</f>
        <v/>
      </c>
      <c r="AJ492" s="13" t="str" cm="1">
        <f t="array" ref="AJ492">IF($C492="","",IFERROR(TRANSPOSE(_xlfn._xlws.FILTER(Listy!$D$2:$D$60,Listy!$C$2:$C$60=$C492)),""))</f>
        <v/>
      </c>
    </row>
    <row r="493" spans="7:36" ht="25" customHeight="1" x14ac:dyDescent="0.35">
      <c r="G493" s="15" t="str">
        <f t="shared" si="52"/>
        <v/>
      </c>
      <c r="H493" s="12" t="str">
        <f t="shared" ca="1" si="53"/>
        <v/>
      </c>
      <c r="I493" s="14"/>
      <c r="J493" s="1" t="str">
        <f>IF(COUNTA(A493:F2780)=0,"",IF(#REF!="","BRAK PROTOKOŁU","DODANY"))</f>
        <v/>
      </c>
      <c r="K493" s="1"/>
      <c r="M493" s="13" t="str" cm="1">
        <f t="array" ref="M493">IF($A493="","",IFERROR(TRANSPOSE(_xlfn._xlws.FILTER(Lokale!$C$3:$C$91,Lokale!$B$3:$B$91=$A493)),""))</f>
        <v/>
      </c>
      <c r="AJ493" s="13" t="str" cm="1">
        <f t="array" ref="AJ493">IF($C493="","",IFERROR(TRANSPOSE(_xlfn._xlws.FILTER(Listy!$D$2:$D$60,Listy!$C$2:$C$60=$C493)),""))</f>
        <v/>
      </c>
    </row>
    <row r="494" spans="7:36" ht="25" customHeight="1" x14ac:dyDescent="0.35">
      <c r="G494" s="15" t="str">
        <f t="shared" si="52"/>
        <v/>
      </c>
      <c r="H494" s="12" t="str">
        <f t="shared" ca="1" si="53"/>
        <v/>
      </c>
      <c r="I494" s="14"/>
      <c r="J494" s="1" t="str">
        <f>IF(COUNTA(A494:F2781)=0,"",IF(#REF!="","BRAK PROTOKOŁU","DODANY"))</f>
        <v/>
      </c>
      <c r="K494" s="1"/>
      <c r="M494" s="13" t="str" cm="1">
        <f t="array" ref="M494">IF($A494="","",IFERROR(TRANSPOSE(_xlfn._xlws.FILTER(Lokale!$C$3:$C$91,Lokale!$B$3:$B$91=$A494)),""))</f>
        <v/>
      </c>
      <c r="AJ494" s="13" t="str" cm="1">
        <f t="array" ref="AJ494">IF($C494="","",IFERROR(TRANSPOSE(_xlfn._xlws.FILTER(Listy!$D$2:$D$60,Listy!$C$2:$C$60=$C494)),""))</f>
        <v/>
      </c>
    </row>
    <row r="495" spans="7:36" ht="25" customHeight="1" x14ac:dyDescent="0.35">
      <c r="G495" s="15" t="str">
        <f t="shared" si="52"/>
        <v/>
      </c>
      <c r="H495" s="12" t="str">
        <f t="shared" ca="1" si="53"/>
        <v/>
      </c>
      <c r="I495" s="14"/>
      <c r="J495" s="1" t="str">
        <f>IF(COUNTA(A495:F2782)=0,"",IF(#REF!="","BRAK PROTOKOŁU","DODANY"))</f>
        <v/>
      </c>
      <c r="K495" s="1"/>
      <c r="M495" s="13" t="str" cm="1">
        <f t="array" ref="M495">IF($A495="","",IFERROR(TRANSPOSE(_xlfn._xlws.FILTER(Lokale!$C$3:$C$91,Lokale!$B$3:$B$91=$A495)),""))</f>
        <v/>
      </c>
      <c r="AJ495" s="13" t="str" cm="1">
        <f t="array" ref="AJ495">IF($C495="","",IFERROR(TRANSPOSE(_xlfn._xlws.FILTER(Listy!$D$2:$D$60,Listy!$C$2:$C$60=$C495)),""))</f>
        <v/>
      </c>
    </row>
    <row r="496" spans="7:36" ht="25" customHeight="1" x14ac:dyDescent="0.35">
      <c r="G496" s="15" t="str">
        <f t="shared" si="52"/>
        <v/>
      </c>
      <c r="H496" s="12" t="str">
        <f t="shared" ca="1" si="53"/>
        <v/>
      </c>
      <c r="I496" s="14"/>
      <c r="J496" s="1" t="str">
        <f>IF(COUNTA(A496:F2783)=0,"",IF(#REF!="","BRAK PROTOKOŁU","DODANY"))</f>
        <v/>
      </c>
      <c r="K496" s="1"/>
      <c r="M496" s="13" t="str" cm="1">
        <f t="array" ref="M496">IF($A496="","",IFERROR(TRANSPOSE(_xlfn._xlws.FILTER(Lokale!$C$3:$C$91,Lokale!$B$3:$B$91=$A496)),""))</f>
        <v/>
      </c>
      <c r="AJ496" s="13" t="str" cm="1">
        <f t="array" ref="AJ496">IF($C496="","",IFERROR(TRANSPOSE(_xlfn._xlws.FILTER(Listy!$D$2:$D$60,Listy!$C$2:$C$60=$C496)),""))</f>
        <v/>
      </c>
    </row>
    <row r="497" spans="7:36" ht="25" customHeight="1" x14ac:dyDescent="0.35">
      <c r="G497" s="15" t="str">
        <f t="shared" si="52"/>
        <v/>
      </c>
      <c r="H497" s="12" t="str">
        <f t="shared" ca="1" si="53"/>
        <v/>
      </c>
      <c r="I497" s="14"/>
      <c r="J497" s="1" t="str">
        <f>IF(COUNTA(A497:F2784)=0,"",IF(#REF!="","BRAK PROTOKOŁU","DODANY"))</f>
        <v/>
      </c>
      <c r="K497" s="1"/>
      <c r="M497" s="13" t="str" cm="1">
        <f t="array" ref="M497">IF($A497="","",IFERROR(TRANSPOSE(_xlfn._xlws.FILTER(Lokale!$C$3:$C$91,Lokale!$B$3:$B$91=$A497)),""))</f>
        <v/>
      </c>
      <c r="AJ497" s="13" t="str" cm="1">
        <f t="array" ref="AJ497">IF($C497="","",IFERROR(TRANSPOSE(_xlfn._xlws.FILTER(Listy!$D$2:$D$60,Listy!$C$2:$C$60=$C497)),""))</f>
        <v/>
      </c>
    </row>
    <row r="498" spans="7:36" ht="25" customHeight="1" x14ac:dyDescent="0.35">
      <c r="G498" s="15" t="str">
        <f t="shared" si="52"/>
        <v/>
      </c>
      <c r="H498" s="12" t="str">
        <f t="shared" ca="1" si="53"/>
        <v/>
      </c>
      <c r="I498" s="14"/>
      <c r="J498" s="1" t="str">
        <f>IF(COUNTA(A498:F2785)=0,"",IF(#REF!="","BRAK PROTOKOŁU","DODANY"))</f>
        <v/>
      </c>
      <c r="K498" s="1"/>
      <c r="M498" s="13" t="str" cm="1">
        <f t="array" ref="M498">IF($A498="","",IFERROR(TRANSPOSE(_xlfn._xlws.FILTER(Lokale!$C$3:$C$91,Lokale!$B$3:$B$91=$A498)),""))</f>
        <v/>
      </c>
      <c r="AJ498" s="13" t="str" cm="1">
        <f t="array" ref="AJ498">IF($C498="","",IFERROR(TRANSPOSE(_xlfn._xlws.FILTER(Listy!$D$2:$D$60,Listy!$C$2:$C$60=$C498)),""))</f>
        <v/>
      </c>
    </row>
    <row r="499" spans="7:36" ht="25" customHeight="1" x14ac:dyDescent="0.35">
      <c r="G499" s="15" t="str">
        <f t="shared" si="52"/>
        <v/>
      </c>
      <c r="H499" s="12" t="str">
        <f t="shared" ca="1" si="53"/>
        <v/>
      </c>
      <c r="I499" s="14"/>
      <c r="J499" s="1" t="str">
        <f>IF(COUNTA(A499:F2786)=0,"",IF(#REF!="","BRAK PROTOKOŁU","DODANY"))</f>
        <v/>
      </c>
      <c r="K499" s="1"/>
      <c r="M499" s="13" t="str" cm="1">
        <f t="array" ref="M499">IF($A499="","",IFERROR(TRANSPOSE(_xlfn._xlws.FILTER(Lokale!$C$3:$C$91,Lokale!$B$3:$B$91=$A499)),""))</f>
        <v/>
      </c>
      <c r="AJ499" s="13" t="str" cm="1">
        <f t="array" ref="AJ499">IF($C499="","",IFERROR(TRANSPOSE(_xlfn._xlws.FILTER(Listy!$D$2:$D$60,Listy!$C$2:$C$60=$C499)),""))</f>
        <v/>
      </c>
    </row>
    <row r="500" spans="7:36" ht="25" customHeight="1" x14ac:dyDescent="0.35">
      <c r="G500" s="15" t="str">
        <f t="shared" si="52"/>
        <v/>
      </c>
      <c r="H500" s="12" t="str">
        <f t="shared" ca="1" si="53"/>
        <v/>
      </c>
      <c r="I500" s="14"/>
      <c r="J500" s="1" t="str">
        <f>IF(COUNTA(A500:F2787)=0,"",IF(#REF!="","BRAK PROTOKOŁU","DODANY"))</f>
        <v/>
      </c>
      <c r="K500" s="1"/>
      <c r="M500" s="13" t="str" cm="1">
        <f t="array" ref="M500">IF($A500="","",IFERROR(TRANSPOSE(_xlfn._xlws.FILTER(Lokale!$C$3:$C$91,Lokale!$B$3:$B$91=$A500)),""))</f>
        <v/>
      </c>
      <c r="AJ500" s="13" t="str" cm="1">
        <f t="array" ref="AJ500">IF($C500="","",IFERROR(TRANSPOSE(_xlfn._xlws.FILTER(Listy!$D$2:$D$60,Listy!$C$2:$C$60=$C500)),""))</f>
        <v/>
      </c>
    </row>
    <row r="501" spans="7:36" ht="25" customHeight="1" x14ac:dyDescent="0.35">
      <c r="G501" s="15" t="str">
        <f t="shared" si="52"/>
        <v/>
      </c>
      <c r="H501" s="12" t="str">
        <f t="shared" ca="1" si="53"/>
        <v/>
      </c>
      <c r="I501" s="14"/>
      <c r="J501" s="1" t="str">
        <f>IF(COUNTA(A501:F2788)=0,"",IF(#REF!="","BRAK PROTOKOŁU","DODANY"))</f>
        <v/>
      </c>
      <c r="K501" s="1"/>
      <c r="M501" s="13" t="str" cm="1">
        <f t="array" ref="M501">IF($A501="","",IFERROR(TRANSPOSE(_xlfn._xlws.FILTER(Lokale!$C$3:$C$91,Lokale!$B$3:$B$91=$A501)),""))</f>
        <v/>
      </c>
      <c r="AJ501" s="13" t="str" cm="1">
        <f t="array" ref="AJ501">IF($C501="","",IFERROR(TRANSPOSE(_xlfn._xlws.FILTER(Listy!$D$2:$D$60,Listy!$C$2:$C$60=$C501)),""))</f>
        <v/>
      </c>
    </row>
    <row r="502" spans="7:36" ht="25" customHeight="1" x14ac:dyDescent="0.35">
      <c r="G502" s="15" t="str">
        <f t="shared" si="52"/>
        <v/>
      </c>
      <c r="H502" s="12" t="str">
        <f t="shared" ca="1" si="53"/>
        <v/>
      </c>
      <c r="I502" s="14"/>
      <c r="J502" s="1" t="str">
        <f>IF(COUNTA(A502:F2789)=0,"",IF(#REF!="","BRAK PROTOKOŁU","DODANY"))</f>
        <v/>
      </c>
      <c r="K502" s="1"/>
      <c r="M502" s="13" t="str" cm="1">
        <f t="array" ref="M502">IF($A502="","",IFERROR(TRANSPOSE(_xlfn._xlws.FILTER(Lokale!$C$3:$C$91,Lokale!$B$3:$B$91=$A502)),""))</f>
        <v/>
      </c>
      <c r="AJ502" s="13" t="str" cm="1">
        <f t="array" ref="AJ502">IF($C502="","",IFERROR(TRANSPOSE(_xlfn._xlws.FILTER(Listy!$D$2:$D$60,Listy!$C$2:$C$60=$C502)),""))</f>
        <v/>
      </c>
    </row>
    <row r="503" spans="7:36" ht="25" customHeight="1" x14ac:dyDescent="0.35">
      <c r="G503" s="15" t="str">
        <f t="shared" si="52"/>
        <v/>
      </c>
      <c r="H503" s="12" t="str">
        <f t="shared" ca="1" si="53"/>
        <v/>
      </c>
      <c r="I503" s="14"/>
      <c r="J503" s="1" t="str">
        <f>IF(COUNTA(A503:F2790)=0,"",IF(#REF!="","BRAK PROTOKOŁU","DODANY"))</f>
        <v/>
      </c>
      <c r="K503" s="1"/>
      <c r="M503" s="13" t="str" cm="1">
        <f t="array" ref="M503">IF($A503="","",IFERROR(TRANSPOSE(_xlfn._xlws.FILTER(Lokale!$C$3:$C$91,Lokale!$B$3:$B$91=$A503)),""))</f>
        <v/>
      </c>
      <c r="AJ503" s="13" t="str" cm="1">
        <f t="array" ref="AJ503">IF($C503="","",IFERROR(TRANSPOSE(_xlfn._xlws.FILTER(Listy!$D$2:$D$60,Listy!$C$2:$C$60=$C503)),""))</f>
        <v/>
      </c>
    </row>
    <row r="504" spans="7:36" ht="25" customHeight="1" x14ac:dyDescent="0.35">
      <c r="G504" s="15" t="str">
        <f t="shared" si="52"/>
        <v/>
      </c>
      <c r="H504" s="12" t="str">
        <f t="shared" ca="1" si="53"/>
        <v/>
      </c>
      <c r="I504" s="14"/>
      <c r="J504" s="1" t="str">
        <f>IF(COUNTA(A504:F2791)=0,"",IF(#REF!="","BRAK PROTOKOŁU","DODANY"))</f>
        <v/>
      </c>
      <c r="K504" s="1"/>
      <c r="M504" s="13" t="str" cm="1">
        <f t="array" ref="M504">IF($A504="","",IFERROR(TRANSPOSE(_xlfn._xlws.FILTER(Lokale!$C$3:$C$91,Lokale!$B$3:$B$91=$A504)),""))</f>
        <v/>
      </c>
      <c r="AJ504" s="13" t="str" cm="1">
        <f t="array" ref="AJ504">IF($C504="","",IFERROR(TRANSPOSE(_xlfn._xlws.FILTER(Listy!$D$2:$D$60,Listy!$C$2:$C$60=$C504)),""))</f>
        <v/>
      </c>
    </row>
    <row r="505" spans="7:36" ht="25" customHeight="1" x14ac:dyDescent="0.35">
      <c r="G505" s="15" t="str">
        <f t="shared" si="52"/>
        <v/>
      </c>
      <c r="H505" s="12" t="str">
        <f t="shared" ca="1" si="53"/>
        <v/>
      </c>
      <c r="I505" s="14"/>
      <c r="J505" s="1" t="str">
        <f>IF(COUNTA(A505:F2792)=0,"",IF(#REF!="","BRAK PROTOKOŁU","DODANY"))</f>
        <v/>
      </c>
      <c r="K505" s="1"/>
      <c r="M505" s="13" t="str" cm="1">
        <f t="array" ref="M505">IF($A505="","",IFERROR(TRANSPOSE(_xlfn._xlws.FILTER(Lokale!$C$3:$C$91,Lokale!$B$3:$B$91=$A505)),""))</f>
        <v/>
      </c>
      <c r="AJ505" s="13" t="str" cm="1">
        <f t="array" ref="AJ505">IF($C505="","",IFERROR(TRANSPOSE(_xlfn._xlws.FILTER(Listy!$D$2:$D$60,Listy!$C$2:$C$60=$C505)),""))</f>
        <v/>
      </c>
    </row>
    <row r="506" spans="7:36" ht="25" customHeight="1" x14ac:dyDescent="0.35">
      <c r="G506" s="15" t="str">
        <f t="shared" si="52"/>
        <v/>
      </c>
      <c r="H506" s="12" t="str">
        <f t="shared" ca="1" si="53"/>
        <v/>
      </c>
      <c r="I506" s="14"/>
      <c r="J506" s="1" t="str">
        <f>IF(COUNTA(A506:F2793)=0,"",IF(#REF!="","BRAK PROTOKOŁU","DODANY"))</f>
        <v/>
      </c>
      <c r="K506" s="1"/>
      <c r="M506" s="13" t="str" cm="1">
        <f t="array" ref="M506">IF($A506="","",IFERROR(TRANSPOSE(_xlfn._xlws.FILTER(Lokale!$C$3:$C$91,Lokale!$B$3:$B$91=$A506)),""))</f>
        <v/>
      </c>
      <c r="AJ506" s="13" t="str" cm="1">
        <f t="array" ref="AJ506">IF($C506="","",IFERROR(TRANSPOSE(_xlfn._xlws.FILTER(Listy!$D$2:$D$60,Listy!$C$2:$C$60=$C506)),""))</f>
        <v/>
      </c>
    </row>
    <row r="507" spans="7:36" ht="25" customHeight="1" x14ac:dyDescent="0.35">
      <c r="G507" s="15" t="str">
        <f t="shared" si="52"/>
        <v/>
      </c>
      <c r="H507" s="12" t="str">
        <f t="shared" ca="1" si="53"/>
        <v/>
      </c>
      <c r="I507" s="14"/>
      <c r="J507" s="1" t="str">
        <f>IF(COUNTA(A507:F2794)=0,"",IF(#REF!="","BRAK PROTOKOŁU","DODANY"))</f>
        <v/>
      </c>
      <c r="K507" s="1"/>
      <c r="M507" s="13" t="str" cm="1">
        <f t="array" ref="M507">IF($A507="","",IFERROR(TRANSPOSE(_xlfn._xlws.FILTER(Lokale!$C$3:$C$91,Lokale!$B$3:$B$91=$A507)),""))</f>
        <v/>
      </c>
      <c r="AJ507" s="13" t="str" cm="1">
        <f t="array" ref="AJ507">IF($C507="","",IFERROR(TRANSPOSE(_xlfn._xlws.FILTER(Listy!$D$2:$D$60,Listy!$C$2:$C$60=$C507)),""))</f>
        <v/>
      </c>
    </row>
    <row r="508" spans="7:36" ht="25" customHeight="1" x14ac:dyDescent="0.35">
      <c r="G508" s="15" t="str">
        <f t="shared" si="52"/>
        <v/>
      </c>
      <c r="H508" s="12" t="str">
        <f t="shared" ca="1" si="53"/>
        <v/>
      </c>
      <c r="I508" s="14"/>
      <c r="J508" s="1" t="str">
        <f>IF(COUNTA(A508:F2795)=0,"",IF(#REF!="","BRAK PROTOKOŁU","DODANY"))</f>
        <v/>
      </c>
      <c r="K508" s="1"/>
      <c r="M508" s="13" t="str" cm="1">
        <f t="array" ref="M508">IF($A508="","",IFERROR(TRANSPOSE(_xlfn._xlws.FILTER(Lokale!$C$3:$C$91,Lokale!$B$3:$B$91=$A508)),""))</f>
        <v/>
      </c>
      <c r="AJ508" s="13" t="str" cm="1">
        <f t="array" ref="AJ508">IF($C508="","",IFERROR(TRANSPOSE(_xlfn._xlws.FILTER(Listy!$D$2:$D$60,Listy!$C$2:$C$60=$C508)),""))</f>
        <v/>
      </c>
    </row>
    <row r="509" spans="7:36" ht="25" customHeight="1" x14ac:dyDescent="0.35">
      <c r="G509" s="15" t="str">
        <f t="shared" si="52"/>
        <v/>
      </c>
      <c r="H509" s="12" t="str">
        <f t="shared" ca="1" si="53"/>
        <v/>
      </c>
      <c r="I509" s="14"/>
      <c r="J509" s="1" t="str">
        <f>IF(COUNTA(A509:F2796)=0,"",IF(#REF!="","BRAK PROTOKOŁU","DODANY"))</f>
        <v/>
      </c>
      <c r="K509" s="1"/>
      <c r="M509" s="13" t="str" cm="1">
        <f t="array" ref="M509">IF($A509="","",IFERROR(TRANSPOSE(_xlfn._xlws.FILTER(Lokale!$C$3:$C$91,Lokale!$B$3:$B$91=$A509)),""))</f>
        <v/>
      </c>
      <c r="AJ509" s="13" t="str" cm="1">
        <f t="array" ref="AJ509">IF($C509="","",IFERROR(TRANSPOSE(_xlfn._xlws.FILTER(Listy!$D$2:$D$60,Listy!$C$2:$C$60=$C509)),""))</f>
        <v/>
      </c>
    </row>
    <row r="510" spans="7:36" ht="25" customHeight="1" x14ac:dyDescent="0.35">
      <c r="G510" s="15" t="str">
        <f t="shared" si="52"/>
        <v/>
      </c>
      <c r="H510" s="12" t="str">
        <f t="shared" ca="1" si="53"/>
        <v/>
      </c>
      <c r="I510" s="14"/>
      <c r="J510" s="1" t="str">
        <f>IF(COUNTA(A510:F2797)=0,"",IF(#REF!="","BRAK PROTOKOŁU","DODANY"))</f>
        <v/>
      </c>
      <c r="K510" s="1"/>
      <c r="M510" s="13" t="str" cm="1">
        <f t="array" ref="M510">IF($A510="","",IFERROR(TRANSPOSE(_xlfn._xlws.FILTER(Lokale!$C$3:$C$91,Lokale!$B$3:$B$91=$A510)),""))</f>
        <v/>
      </c>
      <c r="AJ510" s="13" t="str" cm="1">
        <f t="array" ref="AJ510">IF($C510="","",IFERROR(TRANSPOSE(_xlfn._xlws.FILTER(Listy!$D$2:$D$60,Listy!$C$2:$C$60=$C510)),""))</f>
        <v/>
      </c>
    </row>
    <row r="511" spans="7:36" ht="25" customHeight="1" x14ac:dyDescent="0.35">
      <c r="G511" s="15" t="str">
        <f t="shared" si="52"/>
        <v/>
      </c>
      <c r="H511" s="12" t="str">
        <f t="shared" ca="1" si="53"/>
        <v/>
      </c>
      <c r="I511" s="14"/>
      <c r="J511" s="1" t="str">
        <f>IF(COUNTA(A511:F2798)=0,"",IF(#REF!="","BRAK PROTOKOŁU","DODANY"))</f>
        <v/>
      </c>
      <c r="K511" s="1"/>
      <c r="M511" s="13" t="str" cm="1">
        <f t="array" ref="M511">IF($A511="","",IFERROR(TRANSPOSE(_xlfn._xlws.FILTER(Lokale!$C$3:$C$91,Lokale!$B$3:$B$91=$A511)),""))</f>
        <v/>
      </c>
      <c r="AJ511" s="13" t="str" cm="1">
        <f t="array" ref="AJ511">IF($C511="","",IFERROR(TRANSPOSE(_xlfn._xlws.FILTER(Listy!$D$2:$D$60,Listy!$C$2:$C$60=$C511)),""))</f>
        <v/>
      </c>
    </row>
    <row r="512" spans="7:36" ht="25" customHeight="1" x14ac:dyDescent="0.35">
      <c r="G512" s="15" t="str">
        <f t="shared" si="52"/>
        <v/>
      </c>
      <c r="H512" s="12" t="str">
        <f t="shared" ca="1" si="53"/>
        <v/>
      </c>
      <c r="I512" s="14"/>
      <c r="J512" s="1" t="str">
        <f>IF(COUNTA(A512:F2799)=0,"",IF(#REF!="","BRAK PROTOKOŁU","DODANY"))</f>
        <v/>
      </c>
      <c r="K512" s="1"/>
      <c r="M512" s="13" t="str" cm="1">
        <f t="array" ref="M512">IF($A512="","",IFERROR(TRANSPOSE(_xlfn._xlws.FILTER(Lokale!$C$3:$C$91,Lokale!$B$3:$B$91=$A512)),""))</f>
        <v/>
      </c>
      <c r="AJ512" s="13" t="str" cm="1">
        <f t="array" ref="AJ512">IF($C512="","",IFERROR(TRANSPOSE(_xlfn._xlws.FILTER(Listy!$D$2:$D$60,Listy!$C$2:$C$60=$C512)),""))</f>
        <v/>
      </c>
    </row>
    <row r="513" spans="7:36" ht="25" customHeight="1" x14ac:dyDescent="0.35">
      <c r="G513" s="15" t="str">
        <f t="shared" si="52"/>
        <v/>
      </c>
      <c r="H513" s="12" t="str">
        <f t="shared" ca="1" si="53"/>
        <v/>
      </c>
      <c r="I513" s="14"/>
      <c r="J513" s="1" t="str">
        <f>IF(COUNTA(A513:F2800)=0,"",IF(#REF!="","BRAK PROTOKOŁU","DODANY"))</f>
        <v/>
      </c>
      <c r="K513" s="1"/>
      <c r="M513" s="13" t="str" cm="1">
        <f t="array" ref="M513">IF($A513="","",IFERROR(TRANSPOSE(_xlfn._xlws.FILTER(Lokale!$C$3:$C$91,Lokale!$B$3:$B$91=$A513)),""))</f>
        <v/>
      </c>
      <c r="AJ513" s="13" t="str" cm="1">
        <f t="array" ref="AJ513">IF($C513="","",IFERROR(TRANSPOSE(_xlfn._xlws.FILTER(Listy!$D$2:$D$60,Listy!$C$2:$C$60=$C513)),""))</f>
        <v/>
      </c>
    </row>
    <row r="514" spans="7:36" ht="25" customHeight="1" x14ac:dyDescent="0.35">
      <c r="G514" s="15" t="str">
        <f t="shared" si="52"/>
        <v/>
      </c>
      <c r="H514" s="12" t="str">
        <f t="shared" ca="1" si="53"/>
        <v/>
      </c>
      <c r="I514" s="14"/>
      <c r="J514" s="1" t="str">
        <f>IF(COUNTA(A514:F2801)=0,"",IF(#REF!="","BRAK PROTOKOŁU","DODANY"))</f>
        <v/>
      </c>
      <c r="K514" s="1"/>
      <c r="M514" s="13" t="str" cm="1">
        <f t="array" ref="M514">IF($A514="","",IFERROR(TRANSPOSE(_xlfn._xlws.FILTER(Lokale!$C$3:$C$91,Lokale!$B$3:$B$91=$A514)),""))</f>
        <v/>
      </c>
      <c r="AJ514" s="13" t="str" cm="1">
        <f t="array" ref="AJ514">IF($C514="","",IFERROR(TRANSPOSE(_xlfn._xlws.FILTER(Listy!$D$2:$D$60,Listy!$C$2:$C$60=$C514)),""))</f>
        <v/>
      </c>
    </row>
    <row r="515" spans="7:36" ht="25" customHeight="1" x14ac:dyDescent="0.35">
      <c r="G515" s="15" t="str">
        <f t="shared" si="52"/>
        <v/>
      </c>
      <c r="H515" s="12" t="str">
        <f t="shared" ca="1" si="53"/>
        <v/>
      </c>
      <c r="I515" s="14"/>
      <c r="J515" s="1" t="str">
        <f>IF(COUNTA(A515:F2802)=0,"",IF(#REF!="","BRAK PROTOKOŁU","DODANY"))</f>
        <v/>
      </c>
      <c r="K515" s="1"/>
      <c r="M515" s="13" t="str" cm="1">
        <f t="array" ref="M515">IF($A515="","",IFERROR(TRANSPOSE(_xlfn._xlws.FILTER(Lokale!$C$3:$C$91,Lokale!$B$3:$B$91=$A515)),""))</f>
        <v/>
      </c>
      <c r="AJ515" s="13" t="str" cm="1">
        <f t="array" ref="AJ515">IF($C515="","",IFERROR(TRANSPOSE(_xlfn._xlws.FILTER(Listy!$D$2:$D$60,Listy!$C$2:$C$60=$C515)),""))</f>
        <v/>
      </c>
    </row>
    <row r="516" spans="7:36" ht="25" customHeight="1" x14ac:dyDescent="0.35">
      <c r="G516" s="15" t="str">
        <f t="shared" si="52"/>
        <v/>
      </c>
      <c r="H516" s="12" t="str">
        <f t="shared" ca="1" si="53"/>
        <v/>
      </c>
      <c r="I516" s="14"/>
      <c r="J516" s="1" t="str">
        <f>IF(COUNTA(A516:F2803)=0,"",IF(#REF!="","BRAK PROTOKOŁU","DODANY"))</f>
        <v/>
      </c>
      <c r="K516" s="1"/>
      <c r="M516" s="13" t="str" cm="1">
        <f t="array" ref="M516">IF($A516="","",IFERROR(TRANSPOSE(_xlfn._xlws.FILTER(Lokale!$C$3:$C$91,Lokale!$B$3:$B$91=$A516)),""))</f>
        <v/>
      </c>
      <c r="AJ516" s="13" t="str" cm="1">
        <f t="array" ref="AJ516">IF($C516="","",IFERROR(TRANSPOSE(_xlfn._xlws.FILTER(Listy!$D$2:$D$60,Listy!$C$2:$C$60=$C516)),""))</f>
        <v/>
      </c>
    </row>
    <row r="517" spans="7:36" ht="25" customHeight="1" x14ac:dyDescent="0.35">
      <c r="G517" s="15" t="str">
        <f t="shared" si="52"/>
        <v/>
      </c>
      <c r="H517" s="12" t="str">
        <f t="shared" ca="1" si="53"/>
        <v/>
      </c>
      <c r="I517" s="14"/>
      <c r="J517" s="1" t="str">
        <f>IF(COUNTA(A517:F2804)=0,"",IF(#REF!="","BRAK PROTOKOŁU","DODANY"))</f>
        <v/>
      </c>
      <c r="K517" s="1"/>
      <c r="M517" s="13" t="str" cm="1">
        <f t="array" ref="M517">IF($A517="","",IFERROR(TRANSPOSE(_xlfn._xlws.FILTER(Lokale!$C$3:$C$91,Lokale!$B$3:$B$91=$A517)),""))</f>
        <v/>
      </c>
      <c r="AJ517" s="13" t="str" cm="1">
        <f t="array" ref="AJ517">IF($C517="","",IFERROR(TRANSPOSE(_xlfn._xlws.FILTER(Listy!$D$2:$D$60,Listy!$C$2:$C$60=$C517)),""))</f>
        <v/>
      </c>
    </row>
    <row r="518" spans="7:36" ht="25" customHeight="1" x14ac:dyDescent="0.35">
      <c r="G518" s="15" t="str">
        <f t="shared" si="52"/>
        <v/>
      </c>
      <c r="H518" s="12" t="str">
        <f t="shared" ca="1" si="53"/>
        <v/>
      </c>
      <c r="I518" s="14"/>
      <c r="J518" s="1" t="str">
        <f>IF(COUNTA(A518:F2805)=0,"",IF(#REF!="","BRAK PROTOKOŁU","DODANY"))</f>
        <v/>
      </c>
      <c r="K518" s="1"/>
      <c r="M518" s="13" t="str" cm="1">
        <f t="array" ref="M518">IF($A518="","",IFERROR(TRANSPOSE(_xlfn._xlws.FILTER(Lokale!$C$3:$C$91,Lokale!$B$3:$B$91=$A518)),""))</f>
        <v/>
      </c>
      <c r="AJ518" s="13" t="str" cm="1">
        <f t="array" ref="AJ518">IF($C518="","",IFERROR(TRANSPOSE(_xlfn._xlws.FILTER(Listy!$D$2:$D$60,Listy!$C$2:$C$60=$C518)),""))</f>
        <v/>
      </c>
    </row>
    <row r="519" spans="7:36" ht="25" customHeight="1" x14ac:dyDescent="0.35">
      <c r="G519" s="15" t="str">
        <f t="shared" si="52"/>
        <v/>
      </c>
      <c r="H519" s="12" t="str">
        <f t="shared" ca="1" si="53"/>
        <v/>
      </c>
      <c r="I519" s="14"/>
      <c r="J519" s="1" t="str">
        <f>IF(COUNTA(A519:F2806)=0,"",IF(#REF!="","BRAK PROTOKOŁU","DODANY"))</f>
        <v/>
      </c>
      <c r="K519" s="1"/>
      <c r="M519" s="13" t="str" cm="1">
        <f t="array" ref="M519">IF($A519="","",IFERROR(TRANSPOSE(_xlfn._xlws.FILTER(Lokale!$C$3:$C$91,Lokale!$B$3:$B$91=$A519)),""))</f>
        <v/>
      </c>
      <c r="AJ519" s="13" t="str" cm="1">
        <f t="array" ref="AJ519">IF($C519="","",IFERROR(TRANSPOSE(_xlfn._xlws.FILTER(Listy!$D$2:$D$60,Listy!$C$2:$C$60=$C519)),""))</f>
        <v/>
      </c>
    </row>
    <row r="520" spans="7:36" ht="25" customHeight="1" x14ac:dyDescent="0.35">
      <c r="G520" s="15" t="str">
        <f t="shared" si="52"/>
        <v/>
      </c>
      <c r="H520" s="12" t="str">
        <f t="shared" ca="1" si="53"/>
        <v/>
      </c>
      <c r="I520" s="14"/>
      <c r="J520" s="1" t="str">
        <f>IF(COUNTA(A520:F2807)=0,"",IF(#REF!="","BRAK PROTOKOŁU","DODANY"))</f>
        <v/>
      </c>
      <c r="K520" s="1"/>
      <c r="M520" s="13" t="str" cm="1">
        <f t="array" ref="M520">IF($A520="","",IFERROR(TRANSPOSE(_xlfn._xlws.FILTER(Lokale!$C$3:$C$91,Lokale!$B$3:$B$91=$A520)),""))</f>
        <v/>
      </c>
      <c r="AJ520" s="13" t="str" cm="1">
        <f t="array" ref="AJ520">IF($C520="","",IFERROR(TRANSPOSE(_xlfn._xlws.FILTER(Listy!$D$2:$D$60,Listy!$C$2:$C$60=$C520)),""))</f>
        <v/>
      </c>
    </row>
    <row r="521" spans="7:36" ht="25" customHeight="1" x14ac:dyDescent="0.35">
      <c r="G521" s="15" t="str">
        <f t="shared" si="52"/>
        <v/>
      </c>
      <c r="H521" s="12" t="str">
        <f t="shared" ca="1" si="53"/>
        <v/>
      </c>
      <c r="I521" s="14"/>
      <c r="J521" s="1" t="str">
        <f>IF(COUNTA(A521:F2808)=0,"",IF(#REF!="","BRAK PROTOKOŁU","DODANY"))</f>
        <v/>
      </c>
      <c r="K521" s="1"/>
      <c r="M521" s="13" t="str" cm="1">
        <f t="array" ref="M521">IF($A521="","",IFERROR(TRANSPOSE(_xlfn._xlws.FILTER(Lokale!$C$3:$C$91,Lokale!$B$3:$B$91=$A521)),""))</f>
        <v/>
      </c>
      <c r="AJ521" s="13" t="str" cm="1">
        <f t="array" ref="AJ521">IF($C521="","",IFERROR(TRANSPOSE(_xlfn._xlws.FILTER(Listy!$D$2:$D$60,Listy!$C$2:$C$60=$C521)),""))</f>
        <v/>
      </c>
    </row>
    <row r="522" spans="7:36" ht="25" customHeight="1" x14ac:dyDescent="0.35">
      <c r="G522" s="15" t="str">
        <f t="shared" si="52"/>
        <v/>
      </c>
      <c r="H522" s="12" t="str">
        <f t="shared" ca="1" si="53"/>
        <v/>
      </c>
      <c r="I522" s="14"/>
      <c r="J522" s="1" t="str">
        <f>IF(COUNTA(A522:F2809)=0,"",IF(#REF!="","BRAK PROTOKOŁU","DODANY"))</f>
        <v/>
      </c>
      <c r="K522" s="1"/>
      <c r="M522" s="13" t="str" cm="1">
        <f t="array" ref="M522">IF($A522="","",IFERROR(TRANSPOSE(_xlfn._xlws.FILTER(Lokale!$C$3:$C$91,Lokale!$B$3:$B$91=$A522)),""))</f>
        <v/>
      </c>
      <c r="AJ522" s="13" t="str" cm="1">
        <f t="array" ref="AJ522">IF($C522="","",IFERROR(TRANSPOSE(_xlfn._xlws.FILTER(Listy!$D$2:$D$60,Listy!$C$2:$C$60=$C522)),""))</f>
        <v/>
      </c>
    </row>
    <row r="523" spans="7:36" ht="25" customHeight="1" x14ac:dyDescent="0.35">
      <c r="G523" s="15" t="str">
        <f t="shared" si="52"/>
        <v/>
      </c>
      <c r="H523" s="12" t="str">
        <f t="shared" ca="1" si="53"/>
        <v/>
      </c>
      <c r="I523" s="14"/>
      <c r="J523" s="1" t="str">
        <f>IF(COUNTA(A523:F2810)=0,"",IF(#REF!="","BRAK PROTOKOŁU","DODANY"))</f>
        <v/>
      </c>
      <c r="K523" s="1"/>
      <c r="M523" s="13" t="str" cm="1">
        <f t="array" ref="M523">IF($A523="","",IFERROR(TRANSPOSE(_xlfn._xlws.FILTER(Lokale!$C$3:$C$91,Lokale!$B$3:$B$91=$A523)),""))</f>
        <v/>
      </c>
      <c r="AJ523" s="13" t="str" cm="1">
        <f t="array" ref="AJ523">IF($C523="","",IFERROR(TRANSPOSE(_xlfn._xlws.FILTER(Listy!$D$2:$D$60,Listy!$C$2:$C$60=$C523)),""))</f>
        <v/>
      </c>
    </row>
    <row r="524" spans="7:36" ht="25" customHeight="1" x14ac:dyDescent="0.35">
      <c r="G524" s="15" t="str">
        <f t="shared" si="52"/>
        <v/>
      </c>
      <c r="H524" s="12" t="str">
        <f t="shared" ca="1" si="53"/>
        <v/>
      </c>
      <c r="I524" s="14"/>
      <c r="J524" s="1" t="str">
        <f>IF(COUNTA(A524:F2811)=0,"",IF(#REF!="","BRAK PROTOKOŁU","DODANY"))</f>
        <v/>
      </c>
      <c r="K524" s="1"/>
      <c r="M524" s="13" t="str" cm="1">
        <f t="array" ref="M524">IF($A524="","",IFERROR(TRANSPOSE(_xlfn._xlws.FILTER(Lokale!$C$3:$C$91,Lokale!$B$3:$B$91=$A524)),""))</f>
        <v/>
      </c>
      <c r="AJ524" s="13" t="str" cm="1">
        <f t="array" ref="AJ524">IF($C524="","",IFERROR(TRANSPOSE(_xlfn._xlws.FILTER(Listy!$D$2:$D$60,Listy!$C$2:$C$60=$C524)),""))</f>
        <v/>
      </c>
    </row>
    <row r="525" spans="7:36" ht="25" customHeight="1" x14ac:dyDescent="0.35">
      <c r="G525" s="15" t="str">
        <f t="shared" si="52"/>
        <v/>
      </c>
      <c r="H525" s="12" t="str">
        <f t="shared" ca="1" si="53"/>
        <v/>
      </c>
      <c r="I525" s="14"/>
      <c r="J525" s="1" t="str">
        <f>IF(COUNTA(A525:F2812)=0,"",IF(#REF!="","BRAK PROTOKOŁU","DODANY"))</f>
        <v/>
      </c>
      <c r="K525" s="1"/>
      <c r="M525" s="13" t="str" cm="1">
        <f t="array" ref="M525">IF($A525="","",IFERROR(TRANSPOSE(_xlfn._xlws.FILTER(Lokale!$C$3:$C$91,Lokale!$B$3:$B$91=$A525)),""))</f>
        <v/>
      </c>
      <c r="AJ525" s="13" t="str" cm="1">
        <f t="array" ref="AJ525">IF($C525="","",IFERROR(TRANSPOSE(_xlfn._xlws.FILTER(Listy!$D$2:$D$60,Listy!$C$2:$C$60=$C525)),""))</f>
        <v/>
      </c>
    </row>
    <row r="526" spans="7:36" ht="25" customHeight="1" x14ac:dyDescent="0.35">
      <c r="G526" s="15" t="str">
        <f t="shared" si="52"/>
        <v/>
      </c>
      <c r="H526" s="12" t="str">
        <f t="shared" ca="1" si="53"/>
        <v/>
      </c>
      <c r="I526" s="14"/>
      <c r="J526" s="1" t="str">
        <f>IF(COUNTA(A526:F2813)=0,"",IF(#REF!="","BRAK PROTOKOŁU","DODANY"))</f>
        <v/>
      </c>
      <c r="K526" s="1"/>
      <c r="M526" s="13" t="str" cm="1">
        <f t="array" ref="M526">IF($A526="","",IFERROR(TRANSPOSE(_xlfn._xlws.FILTER(Lokale!$C$3:$C$91,Lokale!$B$3:$B$91=$A526)),""))</f>
        <v/>
      </c>
      <c r="AJ526" s="13" t="str" cm="1">
        <f t="array" ref="AJ526">IF($C526="","",IFERROR(TRANSPOSE(_xlfn._xlws.FILTER(Listy!$D$2:$D$60,Listy!$C$2:$C$60=$C526)),""))</f>
        <v/>
      </c>
    </row>
    <row r="527" spans="7:36" ht="25" customHeight="1" x14ac:dyDescent="0.35">
      <c r="G527" s="15" t="str">
        <f t="shared" si="52"/>
        <v/>
      </c>
      <c r="H527" s="12" t="str">
        <f t="shared" ca="1" si="53"/>
        <v/>
      </c>
      <c r="I527" s="14"/>
      <c r="J527" s="1" t="str">
        <f>IF(COUNTA(A527:F2814)=0,"",IF(#REF!="","BRAK PROTOKOŁU","DODANY"))</f>
        <v/>
      </c>
      <c r="K527" s="1"/>
      <c r="M527" s="13" t="str" cm="1">
        <f t="array" ref="M527">IF($A527="","",IFERROR(TRANSPOSE(_xlfn._xlws.FILTER(Lokale!$C$3:$C$91,Lokale!$B$3:$B$91=$A527)),""))</f>
        <v/>
      </c>
      <c r="AJ527" s="13" t="str" cm="1">
        <f t="array" ref="AJ527">IF($C527="","",IFERROR(TRANSPOSE(_xlfn._xlws.FILTER(Listy!$D$2:$D$60,Listy!$C$2:$C$60=$C527)),""))</f>
        <v/>
      </c>
    </row>
    <row r="528" spans="7:36" ht="25" customHeight="1" x14ac:dyDescent="0.35">
      <c r="G528" s="15" t="str">
        <f t="shared" si="52"/>
        <v/>
      </c>
      <c r="H528" s="12" t="str">
        <f t="shared" ca="1" si="53"/>
        <v/>
      </c>
      <c r="I528" s="14"/>
      <c r="J528" s="1" t="str">
        <f>IF(COUNTA(A528:F2815)=0,"",IF(#REF!="","BRAK PROTOKOŁU","DODANY"))</f>
        <v/>
      </c>
      <c r="K528" s="1"/>
      <c r="M528" s="13" t="str" cm="1">
        <f t="array" ref="M528">IF($A528="","",IFERROR(TRANSPOSE(_xlfn._xlws.FILTER(Lokale!$C$3:$C$91,Lokale!$B$3:$B$91=$A528)),""))</f>
        <v/>
      </c>
      <c r="AJ528" s="13" t="str" cm="1">
        <f t="array" ref="AJ528">IF($C528="","",IFERROR(TRANSPOSE(_xlfn._xlws.FILTER(Listy!$D$2:$D$60,Listy!$C$2:$C$60=$C528)),""))</f>
        <v/>
      </c>
    </row>
    <row r="529" spans="7:36" ht="25" customHeight="1" x14ac:dyDescent="0.35">
      <c r="G529" s="15" t="str">
        <f t="shared" si="52"/>
        <v/>
      </c>
      <c r="H529" s="12" t="str">
        <f t="shared" ca="1" si="53"/>
        <v/>
      </c>
      <c r="I529" s="14"/>
      <c r="J529" s="1" t="str">
        <f>IF(COUNTA(A529:F2816)=0,"",IF(#REF!="","BRAK PROTOKOŁU","DODANY"))</f>
        <v/>
      </c>
      <c r="K529" s="1"/>
      <c r="M529" s="13" t="str" cm="1">
        <f t="array" ref="M529">IF($A529="","",IFERROR(TRANSPOSE(_xlfn._xlws.FILTER(Lokale!$C$3:$C$91,Lokale!$B$3:$B$91=$A529)),""))</f>
        <v/>
      </c>
      <c r="AJ529" s="13" t="str" cm="1">
        <f t="array" ref="AJ529">IF($C529="","",IFERROR(TRANSPOSE(_xlfn._xlws.FILTER(Listy!$D$2:$D$60,Listy!$C$2:$C$60=$C529)),""))</f>
        <v/>
      </c>
    </row>
    <row r="530" spans="7:36" ht="25" customHeight="1" x14ac:dyDescent="0.35">
      <c r="G530" s="15" t="str">
        <f t="shared" si="52"/>
        <v/>
      </c>
      <c r="H530" s="12" t="str">
        <f t="shared" ca="1" si="53"/>
        <v/>
      </c>
      <c r="I530" s="14"/>
      <c r="J530" s="1" t="str">
        <f>IF(COUNTA(A530:F2817)=0,"",IF(#REF!="","BRAK PROTOKOŁU","DODANY"))</f>
        <v/>
      </c>
      <c r="K530" s="1"/>
      <c r="M530" s="13" t="str" cm="1">
        <f t="array" ref="M530">IF($A530="","",IFERROR(TRANSPOSE(_xlfn._xlws.FILTER(Lokale!$C$3:$C$91,Lokale!$B$3:$B$91=$A530)),""))</f>
        <v/>
      </c>
      <c r="AJ530" s="13" t="str" cm="1">
        <f t="array" ref="AJ530">IF($C530="","",IFERROR(TRANSPOSE(_xlfn._xlws.FILTER(Listy!$D$2:$D$60,Listy!$C$2:$C$60=$C530)),""))</f>
        <v/>
      </c>
    </row>
    <row r="531" spans="7:36" ht="25" customHeight="1" x14ac:dyDescent="0.35">
      <c r="G531" s="15" t="str">
        <f t="shared" si="52"/>
        <v/>
      </c>
      <c r="H531" s="12" t="str">
        <f t="shared" ca="1" si="53"/>
        <v/>
      </c>
      <c r="I531" s="14"/>
      <c r="J531" s="1" t="str">
        <f>IF(COUNTA(A531:F2818)=0,"",IF(#REF!="","BRAK PROTOKOŁU","DODANY"))</f>
        <v/>
      </c>
      <c r="K531" s="1"/>
      <c r="M531" s="13" t="str" cm="1">
        <f t="array" ref="M531">IF($A531="","",IFERROR(TRANSPOSE(_xlfn._xlws.FILTER(Lokale!$C$3:$C$91,Lokale!$B$3:$B$91=$A531)),""))</f>
        <v/>
      </c>
      <c r="AJ531" s="13" t="str" cm="1">
        <f t="array" ref="AJ531">IF($C531="","",IFERROR(TRANSPOSE(_xlfn._xlws.FILTER(Listy!$D$2:$D$60,Listy!$C$2:$C$60=$C531)),""))</f>
        <v/>
      </c>
    </row>
    <row r="532" spans="7:36" ht="25" customHeight="1" x14ac:dyDescent="0.35">
      <c r="G532" s="15" t="str">
        <f t="shared" si="52"/>
        <v/>
      </c>
      <c r="H532" s="12" t="str">
        <f t="shared" ca="1" si="53"/>
        <v/>
      </c>
      <c r="I532" s="14"/>
      <c r="J532" s="1" t="str">
        <f>IF(COUNTA(A532:F2819)=0,"",IF(#REF!="","BRAK PROTOKOŁU","DODANY"))</f>
        <v/>
      </c>
      <c r="K532" s="1"/>
      <c r="M532" s="13" t="str" cm="1">
        <f t="array" ref="M532">IF($A532="","",IFERROR(TRANSPOSE(_xlfn._xlws.FILTER(Lokale!$C$3:$C$91,Lokale!$B$3:$B$91=$A532)),""))</f>
        <v/>
      </c>
      <c r="AJ532" s="13" t="str" cm="1">
        <f t="array" ref="AJ532">IF($C532="","",IFERROR(TRANSPOSE(_xlfn._xlws.FILTER(Listy!$D$2:$D$60,Listy!$C$2:$C$60=$C532)),""))</f>
        <v/>
      </c>
    </row>
    <row r="533" spans="7:36" ht="25" customHeight="1" x14ac:dyDescent="0.35">
      <c r="G533" s="15" t="str">
        <f t="shared" si="52"/>
        <v/>
      </c>
      <c r="H533" s="12" t="str">
        <f t="shared" ca="1" si="53"/>
        <v/>
      </c>
      <c r="I533" s="14"/>
      <c r="J533" s="1" t="str">
        <f>IF(COUNTA(A533:F2820)=0,"",IF(#REF!="","BRAK PROTOKOŁU","DODANY"))</f>
        <v/>
      </c>
      <c r="K533" s="1"/>
      <c r="M533" s="13" t="str" cm="1">
        <f t="array" ref="M533">IF($A533="","",IFERROR(TRANSPOSE(_xlfn._xlws.FILTER(Lokale!$C$3:$C$91,Lokale!$B$3:$B$91=$A533)),""))</f>
        <v/>
      </c>
      <c r="AJ533" s="13" t="str" cm="1">
        <f t="array" ref="AJ533">IF($C533="","",IFERROR(TRANSPOSE(_xlfn._xlws.FILTER(Listy!$D$2:$D$60,Listy!$C$2:$C$60=$C533)),""))</f>
        <v/>
      </c>
    </row>
    <row r="534" spans="7:36" ht="25" customHeight="1" x14ac:dyDescent="0.35">
      <c r="G534" s="15" t="str">
        <f t="shared" si="52"/>
        <v/>
      </c>
      <c r="H534" s="12" t="str">
        <f t="shared" ca="1" si="53"/>
        <v/>
      </c>
      <c r="I534" s="14"/>
      <c r="J534" s="1" t="str">
        <f>IF(COUNTA(A534:F2821)=0,"",IF(#REF!="","BRAK PROTOKOŁU","DODANY"))</f>
        <v/>
      </c>
      <c r="K534" s="1"/>
      <c r="M534" s="13" t="str" cm="1">
        <f t="array" ref="M534">IF($A534="","",IFERROR(TRANSPOSE(_xlfn._xlws.FILTER(Lokale!$C$3:$C$91,Lokale!$B$3:$B$91=$A534)),""))</f>
        <v/>
      </c>
      <c r="AJ534" s="13" t="str" cm="1">
        <f t="array" ref="AJ534">IF($C534="","",IFERROR(TRANSPOSE(_xlfn._xlws.FILTER(Listy!$D$2:$D$60,Listy!$C$2:$C$60=$C534)),""))</f>
        <v/>
      </c>
    </row>
    <row r="535" spans="7:36" ht="25" customHeight="1" x14ac:dyDescent="0.35">
      <c r="G535" s="15" t="str">
        <f t="shared" si="52"/>
        <v/>
      </c>
      <c r="H535" s="12" t="str">
        <f t="shared" ca="1" si="53"/>
        <v/>
      </c>
      <c r="I535" s="14"/>
      <c r="J535" s="1" t="str">
        <f>IF(COUNTA(A535:F2822)=0,"",IF(#REF!="","BRAK PROTOKOŁU","DODANY"))</f>
        <v/>
      </c>
      <c r="K535" s="1"/>
      <c r="M535" s="13" t="str" cm="1">
        <f t="array" ref="M535">IF($A535="","",IFERROR(TRANSPOSE(_xlfn._xlws.FILTER(Lokale!$C$3:$C$91,Lokale!$B$3:$B$91=$A535)),""))</f>
        <v/>
      </c>
      <c r="AJ535" s="13" t="str" cm="1">
        <f t="array" ref="AJ535">IF($C535="","",IFERROR(TRANSPOSE(_xlfn._xlws.FILTER(Listy!$D$2:$D$60,Listy!$C$2:$C$60=$C535)),""))</f>
        <v/>
      </c>
    </row>
    <row r="536" spans="7:36" ht="25" customHeight="1" x14ac:dyDescent="0.35">
      <c r="G536" s="15" t="str">
        <f t="shared" si="52"/>
        <v/>
      </c>
      <c r="H536" s="12" t="str">
        <f t="shared" ca="1" si="53"/>
        <v/>
      </c>
      <c r="I536" s="14"/>
      <c r="J536" s="1" t="str">
        <f>IF(COUNTA(A536:F2823)=0,"",IF(#REF!="","BRAK PROTOKOŁU","DODANY"))</f>
        <v/>
      </c>
      <c r="K536" s="1"/>
      <c r="M536" s="13" t="str" cm="1">
        <f t="array" ref="M536">IF($A536="","",IFERROR(TRANSPOSE(_xlfn._xlws.FILTER(Lokale!$C$3:$C$91,Lokale!$B$3:$B$91=$A536)),""))</f>
        <v/>
      </c>
      <c r="AJ536" s="13" t="str" cm="1">
        <f t="array" ref="AJ536">IF($C536="","",IFERROR(TRANSPOSE(_xlfn._xlws.FILTER(Listy!$D$2:$D$60,Listy!$C$2:$C$60=$C536)),""))</f>
        <v/>
      </c>
    </row>
    <row r="537" spans="7:36" ht="25" customHeight="1" x14ac:dyDescent="0.35">
      <c r="G537" s="15" t="str">
        <f t="shared" si="52"/>
        <v/>
      </c>
      <c r="H537" s="12" t="str">
        <f t="shared" ca="1" si="53"/>
        <v/>
      </c>
      <c r="I537" s="14"/>
      <c r="J537" s="1" t="str">
        <f>IF(COUNTA(A537:F2824)=0,"",IF(#REF!="","BRAK PROTOKOŁU","DODANY"))</f>
        <v/>
      </c>
      <c r="K537" s="1"/>
      <c r="M537" s="13" t="str" cm="1">
        <f t="array" ref="M537">IF($A537="","",IFERROR(TRANSPOSE(_xlfn._xlws.FILTER(Lokale!$C$3:$C$91,Lokale!$B$3:$B$91=$A537)),""))</f>
        <v/>
      </c>
      <c r="AJ537" s="13" t="str" cm="1">
        <f t="array" ref="AJ537">IF($C537="","",IFERROR(TRANSPOSE(_xlfn._xlws.FILTER(Listy!$D$2:$D$60,Listy!$C$2:$C$60=$C537)),""))</f>
        <v/>
      </c>
    </row>
    <row r="538" spans="7:36" ht="25" customHeight="1" x14ac:dyDescent="0.35">
      <c r="G538" s="15" t="str">
        <f t="shared" si="52"/>
        <v/>
      </c>
      <c r="H538" s="12" t="str">
        <f t="shared" ca="1" si="53"/>
        <v/>
      </c>
      <c r="I538" s="14"/>
      <c r="J538" s="1" t="str">
        <f>IF(COUNTA(A538:F2825)=0,"",IF(#REF!="","BRAK PROTOKOŁU","DODANY"))</f>
        <v/>
      </c>
      <c r="K538" s="1"/>
      <c r="M538" s="13" t="str" cm="1">
        <f t="array" ref="M538">IF($A538="","",IFERROR(TRANSPOSE(_xlfn._xlws.FILTER(Lokale!$C$3:$C$91,Lokale!$B$3:$B$91=$A538)),""))</f>
        <v/>
      </c>
      <c r="AJ538" s="13" t="str" cm="1">
        <f t="array" ref="AJ538">IF($C538="","",IFERROR(TRANSPOSE(_xlfn._xlws.FILTER(Listy!$D$2:$D$60,Listy!$C$2:$C$60=$C538)),""))</f>
        <v/>
      </c>
    </row>
    <row r="539" spans="7:36" ht="25" customHeight="1" x14ac:dyDescent="0.35">
      <c r="G539" s="15" t="str">
        <f t="shared" si="52"/>
        <v/>
      </c>
      <c r="H539" s="12" t="str">
        <f t="shared" ca="1" si="53"/>
        <v/>
      </c>
      <c r="I539" s="14"/>
      <c r="J539" s="1" t="str">
        <f>IF(COUNTA(A539:F2826)=0,"",IF(#REF!="","BRAK PROTOKOŁU","DODANY"))</f>
        <v/>
      </c>
      <c r="K539" s="1"/>
      <c r="M539" s="13" t="str" cm="1">
        <f t="array" ref="M539">IF($A539="","",IFERROR(TRANSPOSE(_xlfn._xlws.FILTER(Lokale!$C$3:$C$91,Lokale!$B$3:$B$91=$A539)),""))</f>
        <v/>
      </c>
      <c r="AJ539" s="13" t="str" cm="1">
        <f t="array" ref="AJ539">IF($C539="","",IFERROR(TRANSPOSE(_xlfn._xlws.FILTER(Listy!$D$2:$D$60,Listy!$C$2:$C$60=$C539)),""))</f>
        <v/>
      </c>
    </row>
    <row r="540" spans="7:36" ht="25" customHeight="1" x14ac:dyDescent="0.35">
      <c r="G540" s="15" t="str">
        <f t="shared" si="52"/>
        <v/>
      </c>
      <c r="H540" s="12" t="str">
        <f t="shared" ca="1" si="53"/>
        <v/>
      </c>
      <c r="I540" s="14"/>
      <c r="J540" s="1" t="str">
        <f>IF(COUNTA(A540:F2827)=0,"",IF(#REF!="","BRAK PROTOKOŁU","DODANY"))</f>
        <v/>
      </c>
      <c r="K540" s="1"/>
      <c r="M540" s="13" t="str" cm="1">
        <f t="array" ref="M540">IF($A540="","",IFERROR(TRANSPOSE(_xlfn._xlws.FILTER(Lokale!$C$3:$C$91,Lokale!$B$3:$B$91=$A540)),""))</f>
        <v/>
      </c>
      <c r="AJ540" s="13" t="str" cm="1">
        <f t="array" ref="AJ540">IF($C540="","",IFERROR(TRANSPOSE(_xlfn._xlws.FILTER(Listy!$D$2:$D$60,Listy!$C$2:$C$60=$C540)),""))</f>
        <v/>
      </c>
    </row>
    <row r="541" spans="7:36" ht="25" customHeight="1" x14ac:dyDescent="0.35">
      <c r="G541" s="15" t="str">
        <f t="shared" si="52"/>
        <v/>
      </c>
      <c r="H541" s="12" t="str">
        <f t="shared" ca="1" si="53"/>
        <v/>
      </c>
      <c r="I541" s="14"/>
      <c r="J541" s="1" t="str">
        <f>IF(COUNTA(A541:F2828)=0,"",IF(#REF!="","BRAK PROTOKOŁU","DODANY"))</f>
        <v/>
      </c>
      <c r="K541" s="1"/>
      <c r="M541" s="13" t="str" cm="1">
        <f t="array" ref="M541">IF($A541="","",IFERROR(TRANSPOSE(_xlfn._xlws.FILTER(Lokale!$C$3:$C$91,Lokale!$B$3:$B$91=$A541)),""))</f>
        <v/>
      </c>
      <c r="AJ541" s="13" t="str" cm="1">
        <f t="array" ref="AJ541">IF($C541="","",IFERROR(TRANSPOSE(_xlfn._xlws.FILTER(Listy!$D$2:$D$60,Listy!$C$2:$C$60=$C541)),""))</f>
        <v/>
      </c>
    </row>
    <row r="542" spans="7:36" ht="25" customHeight="1" x14ac:dyDescent="0.35">
      <c r="G542" s="15" t="str">
        <f t="shared" si="52"/>
        <v/>
      </c>
      <c r="H542" s="12" t="str">
        <f t="shared" ca="1" si="53"/>
        <v/>
      </c>
      <c r="I542" s="14"/>
      <c r="J542" s="1" t="str">
        <f>IF(COUNTA(A542:F2829)=0,"",IF(#REF!="","BRAK PROTOKOŁU","DODANY"))</f>
        <v/>
      </c>
      <c r="K542" s="1"/>
      <c r="M542" s="13" t="str" cm="1">
        <f t="array" ref="M542">IF($A542="","",IFERROR(TRANSPOSE(_xlfn._xlws.FILTER(Lokale!$C$3:$C$91,Lokale!$B$3:$B$91=$A542)),""))</f>
        <v/>
      </c>
      <c r="AJ542" s="13" t="str" cm="1">
        <f t="array" ref="AJ542">IF($C542="","",IFERROR(TRANSPOSE(_xlfn._xlws.FILTER(Listy!$D$2:$D$60,Listy!$C$2:$C$60=$C542)),""))</f>
        <v/>
      </c>
    </row>
    <row r="543" spans="7:36" ht="25" customHeight="1" x14ac:dyDescent="0.35">
      <c r="G543" s="15" t="str">
        <f t="shared" si="52"/>
        <v/>
      </c>
      <c r="H543" s="12" t="str">
        <f t="shared" ca="1" si="53"/>
        <v/>
      </c>
      <c r="I543" s="14"/>
      <c r="J543" s="1" t="str">
        <f>IF(COUNTA(A543:F2830)=0,"",IF(#REF!="","BRAK PROTOKOŁU","DODANY"))</f>
        <v/>
      </c>
      <c r="K543" s="1"/>
      <c r="M543" s="13" t="str" cm="1">
        <f t="array" ref="M543">IF($A543="","",IFERROR(TRANSPOSE(_xlfn._xlws.FILTER(Lokale!$C$3:$C$91,Lokale!$B$3:$B$91=$A543)),""))</f>
        <v/>
      </c>
      <c r="AJ543" s="13" t="str" cm="1">
        <f t="array" ref="AJ543">IF($C543="","",IFERROR(TRANSPOSE(_xlfn._xlws.FILTER(Listy!$D$2:$D$60,Listy!$C$2:$C$60=$C543)),""))</f>
        <v/>
      </c>
    </row>
    <row r="544" spans="7:36" ht="25" customHeight="1" x14ac:dyDescent="0.35">
      <c r="G544" s="15" t="str">
        <f t="shared" si="52"/>
        <v/>
      </c>
      <c r="H544" s="12" t="str">
        <f t="shared" ca="1" si="53"/>
        <v/>
      </c>
      <c r="I544" s="14"/>
      <c r="J544" s="1" t="str">
        <f>IF(COUNTA(A544:F2831)=0,"",IF(#REF!="","BRAK PROTOKOŁU","DODANY"))</f>
        <v/>
      </c>
      <c r="K544" s="1"/>
      <c r="M544" s="13" t="str" cm="1">
        <f t="array" ref="M544">IF($A544="","",IFERROR(TRANSPOSE(_xlfn._xlws.FILTER(Lokale!$C$3:$C$91,Lokale!$B$3:$B$91=$A544)),""))</f>
        <v/>
      </c>
      <c r="AJ544" s="13" t="str" cm="1">
        <f t="array" ref="AJ544">IF($C544="","",IFERROR(TRANSPOSE(_xlfn._xlws.FILTER(Listy!$D$2:$D$60,Listy!$C$2:$C$60=$C544)),""))</f>
        <v/>
      </c>
    </row>
    <row r="545" spans="7:36" ht="25" customHeight="1" x14ac:dyDescent="0.35">
      <c r="G545" s="15" t="str">
        <f t="shared" si="52"/>
        <v/>
      </c>
      <c r="H545" s="12" t="str">
        <f t="shared" ca="1" si="53"/>
        <v/>
      </c>
      <c r="I545" s="14"/>
      <c r="J545" s="1" t="str">
        <f>IF(COUNTA(A545:F2832)=0,"",IF(#REF!="","BRAK PROTOKOŁU","DODANY"))</f>
        <v/>
      </c>
      <c r="K545" s="1"/>
      <c r="M545" s="13" t="str" cm="1">
        <f t="array" ref="M545">IF($A545="","",IFERROR(TRANSPOSE(_xlfn._xlws.FILTER(Lokale!$C$3:$C$91,Lokale!$B$3:$B$91=$A545)),""))</f>
        <v/>
      </c>
      <c r="AJ545" s="13" t="str" cm="1">
        <f t="array" ref="AJ545">IF($C545="","",IFERROR(TRANSPOSE(_xlfn._xlws.FILTER(Listy!$D$2:$D$60,Listy!$C$2:$C$60=$C545)),""))</f>
        <v/>
      </c>
    </row>
    <row r="546" spans="7:36" ht="25" customHeight="1" x14ac:dyDescent="0.35">
      <c r="G546" s="15" t="str">
        <f t="shared" ref="G546:G609" si="54">IF(OR(E546="",F546=""),"",DATE(YEAR(E546),MONTH(E546)+F546,DAY(E546)))</f>
        <v/>
      </c>
      <c r="H546" s="12" t="str">
        <f t="shared" ref="H546:H609" ca="1" si="55">IF(G546="","",IF(G546&lt;TODAY(),"PO TERMINIE",IF(G546&lt;=TODAY()+14,"DO WYKONANIA","OK")))</f>
        <v/>
      </c>
      <c r="I546" s="14"/>
      <c r="J546" s="1" t="str">
        <f>IF(COUNTA(A546:F2833)=0,"",IF(#REF!="","BRAK PROTOKOŁU","DODANY"))</f>
        <v/>
      </c>
      <c r="K546" s="1"/>
      <c r="M546" s="13" t="str" cm="1">
        <f t="array" ref="M546">IF($A546="","",IFERROR(TRANSPOSE(_xlfn._xlws.FILTER(Lokale!$C$3:$C$91,Lokale!$B$3:$B$91=$A546)),""))</f>
        <v/>
      </c>
      <c r="AJ546" s="13" t="str" cm="1">
        <f t="array" ref="AJ546">IF($C546="","",IFERROR(TRANSPOSE(_xlfn._xlws.FILTER(Listy!$D$2:$D$60,Listy!$C$2:$C$60=$C546)),""))</f>
        <v/>
      </c>
    </row>
    <row r="547" spans="7:36" ht="25" customHeight="1" x14ac:dyDescent="0.35">
      <c r="G547" s="15" t="str">
        <f t="shared" si="54"/>
        <v/>
      </c>
      <c r="H547" s="12" t="str">
        <f t="shared" ca="1" si="55"/>
        <v/>
      </c>
      <c r="I547" s="14"/>
      <c r="J547" s="1" t="str">
        <f>IF(COUNTA(A547:F2834)=0,"",IF(#REF!="","BRAK PROTOKOŁU","DODANY"))</f>
        <v/>
      </c>
      <c r="K547" s="1"/>
      <c r="M547" s="13" t="str" cm="1">
        <f t="array" ref="M547">IF($A547="","",IFERROR(TRANSPOSE(_xlfn._xlws.FILTER(Lokale!$C$3:$C$91,Lokale!$B$3:$B$91=$A547)),""))</f>
        <v/>
      </c>
      <c r="AJ547" s="13" t="str" cm="1">
        <f t="array" ref="AJ547">IF($C547="","",IFERROR(TRANSPOSE(_xlfn._xlws.FILTER(Listy!$D$2:$D$60,Listy!$C$2:$C$60=$C547)),""))</f>
        <v/>
      </c>
    </row>
    <row r="548" spans="7:36" ht="25" customHeight="1" x14ac:dyDescent="0.35">
      <c r="G548" s="15" t="str">
        <f t="shared" si="54"/>
        <v/>
      </c>
      <c r="H548" s="12" t="str">
        <f t="shared" ca="1" si="55"/>
        <v/>
      </c>
      <c r="I548" s="14"/>
      <c r="J548" s="1" t="str">
        <f>IF(COUNTA(A548:F2835)=0,"",IF(#REF!="","BRAK PROTOKOŁU","DODANY"))</f>
        <v/>
      </c>
      <c r="K548" s="1"/>
      <c r="M548" s="13" t="str" cm="1">
        <f t="array" ref="M548">IF($A548="","",IFERROR(TRANSPOSE(_xlfn._xlws.FILTER(Lokale!$C$3:$C$91,Lokale!$B$3:$B$91=$A548)),""))</f>
        <v/>
      </c>
      <c r="AJ548" s="13" t="str" cm="1">
        <f t="array" ref="AJ548">IF($C548="","",IFERROR(TRANSPOSE(_xlfn._xlws.FILTER(Listy!$D$2:$D$60,Listy!$C$2:$C$60=$C548)),""))</f>
        <v/>
      </c>
    </row>
    <row r="549" spans="7:36" ht="25" customHeight="1" x14ac:dyDescent="0.35">
      <c r="G549" s="15" t="str">
        <f t="shared" si="54"/>
        <v/>
      </c>
      <c r="H549" s="12" t="str">
        <f t="shared" ca="1" si="55"/>
        <v/>
      </c>
      <c r="I549" s="14"/>
      <c r="J549" s="1" t="str">
        <f>IF(COUNTA(A549:F2836)=0,"",IF(#REF!="","BRAK PROTOKOŁU","DODANY"))</f>
        <v/>
      </c>
      <c r="K549" s="1"/>
      <c r="M549" s="13" t="str" cm="1">
        <f t="array" ref="M549">IF($A549="","",IFERROR(TRANSPOSE(_xlfn._xlws.FILTER(Lokale!$C$3:$C$91,Lokale!$B$3:$B$91=$A549)),""))</f>
        <v/>
      </c>
      <c r="AJ549" s="13" t="str" cm="1">
        <f t="array" ref="AJ549">IF($C549="","",IFERROR(TRANSPOSE(_xlfn._xlws.FILTER(Listy!$D$2:$D$60,Listy!$C$2:$C$60=$C549)),""))</f>
        <v/>
      </c>
    </row>
    <row r="550" spans="7:36" ht="25" customHeight="1" x14ac:dyDescent="0.35">
      <c r="G550" s="15" t="str">
        <f t="shared" si="54"/>
        <v/>
      </c>
      <c r="H550" s="12" t="str">
        <f t="shared" ca="1" si="55"/>
        <v/>
      </c>
      <c r="I550" s="14"/>
      <c r="J550" s="1" t="str">
        <f>IF(COUNTA(A550:F2837)=0,"",IF(#REF!="","BRAK PROTOKOŁU","DODANY"))</f>
        <v/>
      </c>
      <c r="K550" s="1"/>
      <c r="M550" s="13" t="str" cm="1">
        <f t="array" ref="M550">IF($A550="","",IFERROR(TRANSPOSE(_xlfn._xlws.FILTER(Lokale!$C$3:$C$91,Lokale!$B$3:$B$91=$A550)),""))</f>
        <v/>
      </c>
      <c r="AJ550" s="13" t="str" cm="1">
        <f t="array" ref="AJ550">IF($C550="","",IFERROR(TRANSPOSE(_xlfn._xlws.FILTER(Listy!$D$2:$D$60,Listy!$C$2:$C$60=$C550)),""))</f>
        <v/>
      </c>
    </row>
    <row r="551" spans="7:36" ht="25" customHeight="1" x14ac:dyDescent="0.35">
      <c r="G551" s="15" t="str">
        <f t="shared" si="54"/>
        <v/>
      </c>
      <c r="H551" s="12" t="str">
        <f t="shared" ca="1" si="55"/>
        <v/>
      </c>
      <c r="I551" s="14"/>
      <c r="J551" s="1" t="str">
        <f>IF(COUNTA(A551:F2838)=0,"",IF(#REF!="","BRAK PROTOKOŁU","DODANY"))</f>
        <v/>
      </c>
      <c r="K551" s="1"/>
      <c r="M551" s="13" t="str" cm="1">
        <f t="array" ref="M551">IF($A551="","",IFERROR(TRANSPOSE(_xlfn._xlws.FILTER(Lokale!$C$3:$C$91,Lokale!$B$3:$B$91=$A551)),""))</f>
        <v/>
      </c>
      <c r="AJ551" s="13" t="str" cm="1">
        <f t="array" ref="AJ551">IF($C551="","",IFERROR(TRANSPOSE(_xlfn._xlws.FILTER(Listy!$D$2:$D$60,Listy!$C$2:$C$60=$C551)),""))</f>
        <v/>
      </c>
    </row>
    <row r="552" spans="7:36" ht="25" customHeight="1" x14ac:dyDescent="0.35">
      <c r="G552" s="15" t="str">
        <f t="shared" si="54"/>
        <v/>
      </c>
      <c r="H552" s="12" t="str">
        <f t="shared" ca="1" si="55"/>
        <v/>
      </c>
      <c r="I552" s="14"/>
      <c r="J552" s="1" t="str">
        <f>IF(COUNTA(A552:F2839)=0,"",IF(#REF!="","BRAK PROTOKOŁU","DODANY"))</f>
        <v/>
      </c>
      <c r="K552" s="1"/>
      <c r="M552" s="13" t="str" cm="1">
        <f t="array" ref="M552">IF($A552="","",IFERROR(TRANSPOSE(_xlfn._xlws.FILTER(Lokale!$C$3:$C$91,Lokale!$B$3:$B$91=$A552)),""))</f>
        <v/>
      </c>
      <c r="AJ552" s="13" t="str" cm="1">
        <f t="array" ref="AJ552">IF($C552="","",IFERROR(TRANSPOSE(_xlfn._xlws.FILTER(Listy!$D$2:$D$60,Listy!$C$2:$C$60=$C552)),""))</f>
        <v/>
      </c>
    </row>
    <row r="553" spans="7:36" ht="25" customHeight="1" x14ac:dyDescent="0.35">
      <c r="G553" s="15" t="str">
        <f t="shared" si="54"/>
        <v/>
      </c>
      <c r="H553" s="12" t="str">
        <f t="shared" ca="1" si="55"/>
        <v/>
      </c>
      <c r="I553" s="14"/>
      <c r="J553" s="1" t="str">
        <f>IF(COUNTA(A553:F2840)=0,"",IF(#REF!="","BRAK PROTOKOŁU","DODANY"))</f>
        <v/>
      </c>
      <c r="K553" s="1"/>
      <c r="M553" s="13" t="str" cm="1">
        <f t="array" ref="M553">IF($A553="","",IFERROR(TRANSPOSE(_xlfn._xlws.FILTER(Lokale!$C$3:$C$91,Lokale!$B$3:$B$91=$A553)),""))</f>
        <v/>
      </c>
      <c r="AJ553" s="13" t="str" cm="1">
        <f t="array" ref="AJ553">IF($C553="","",IFERROR(TRANSPOSE(_xlfn._xlws.FILTER(Listy!$D$2:$D$60,Listy!$C$2:$C$60=$C553)),""))</f>
        <v/>
      </c>
    </row>
    <row r="554" spans="7:36" ht="25" customHeight="1" x14ac:dyDescent="0.35">
      <c r="G554" s="15" t="str">
        <f t="shared" si="54"/>
        <v/>
      </c>
      <c r="H554" s="12" t="str">
        <f t="shared" ca="1" si="55"/>
        <v/>
      </c>
      <c r="I554" s="14"/>
      <c r="J554" s="1" t="str">
        <f>IF(COUNTA(A554:F2841)=0,"",IF(#REF!="","BRAK PROTOKOŁU","DODANY"))</f>
        <v/>
      </c>
      <c r="K554" s="1"/>
      <c r="M554" s="13" t="str" cm="1">
        <f t="array" ref="M554">IF($A554="","",IFERROR(TRANSPOSE(_xlfn._xlws.FILTER(Lokale!$C$3:$C$91,Lokale!$B$3:$B$91=$A554)),""))</f>
        <v/>
      </c>
      <c r="AJ554" s="13" t="str" cm="1">
        <f t="array" ref="AJ554">IF($C554="","",IFERROR(TRANSPOSE(_xlfn._xlws.FILTER(Listy!$D$2:$D$60,Listy!$C$2:$C$60=$C554)),""))</f>
        <v/>
      </c>
    </row>
    <row r="555" spans="7:36" ht="25" customHeight="1" x14ac:dyDescent="0.35">
      <c r="G555" s="15" t="str">
        <f t="shared" si="54"/>
        <v/>
      </c>
      <c r="H555" s="12" t="str">
        <f t="shared" ca="1" si="55"/>
        <v/>
      </c>
      <c r="I555" s="14"/>
      <c r="J555" s="1" t="str">
        <f>IF(COUNTA(A555:F2842)=0,"",IF(#REF!="","BRAK PROTOKOŁU","DODANY"))</f>
        <v/>
      </c>
      <c r="K555" s="1"/>
      <c r="M555" s="13" t="str" cm="1">
        <f t="array" ref="M555">IF($A555="","",IFERROR(TRANSPOSE(_xlfn._xlws.FILTER(Lokale!$C$3:$C$91,Lokale!$B$3:$B$91=$A555)),""))</f>
        <v/>
      </c>
      <c r="AJ555" s="13" t="str" cm="1">
        <f t="array" ref="AJ555">IF($C555="","",IFERROR(TRANSPOSE(_xlfn._xlws.FILTER(Listy!$D$2:$D$60,Listy!$C$2:$C$60=$C555)),""))</f>
        <v/>
      </c>
    </row>
    <row r="556" spans="7:36" ht="25" customHeight="1" x14ac:dyDescent="0.35">
      <c r="G556" s="15" t="str">
        <f t="shared" si="54"/>
        <v/>
      </c>
      <c r="H556" s="12" t="str">
        <f t="shared" ca="1" si="55"/>
        <v/>
      </c>
      <c r="I556" s="14"/>
      <c r="J556" s="1" t="str">
        <f>IF(COUNTA(A556:F2843)=0,"",IF(#REF!="","BRAK PROTOKOŁU","DODANY"))</f>
        <v/>
      </c>
      <c r="K556" s="1"/>
      <c r="M556" s="13" t="str" cm="1">
        <f t="array" ref="M556">IF($A556="","",IFERROR(TRANSPOSE(_xlfn._xlws.FILTER(Lokale!$C$3:$C$91,Lokale!$B$3:$B$91=$A556)),""))</f>
        <v/>
      </c>
      <c r="AJ556" s="13" t="str" cm="1">
        <f t="array" ref="AJ556">IF($C556="","",IFERROR(TRANSPOSE(_xlfn._xlws.FILTER(Listy!$D$2:$D$60,Listy!$C$2:$C$60=$C556)),""))</f>
        <v/>
      </c>
    </row>
    <row r="557" spans="7:36" ht="25" customHeight="1" x14ac:dyDescent="0.35">
      <c r="G557" s="15" t="str">
        <f t="shared" si="54"/>
        <v/>
      </c>
      <c r="H557" s="12" t="str">
        <f t="shared" ca="1" si="55"/>
        <v/>
      </c>
      <c r="I557" s="14"/>
      <c r="J557" s="1" t="str">
        <f>IF(COUNTA(A557:F2844)=0,"",IF(#REF!="","BRAK PROTOKOŁU","DODANY"))</f>
        <v/>
      </c>
      <c r="K557" s="1"/>
      <c r="M557" s="13" t="str" cm="1">
        <f t="array" ref="M557">IF($A557="","",IFERROR(TRANSPOSE(_xlfn._xlws.FILTER(Lokale!$C$3:$C$91,Lokale!$B$3:$B$91=$A557)),""))</f>
        <v/>
      </c>
      <c r="AJ557" s="13" t="str" cm="1">
        <f t="array" ref="AJ557">IF($C557="","",IFERROR(TRANSPOSE(_xlfn._xlws.FILTER(Listy!$D$2:$D$60,Listy!$C$2:$C$60=$C557)),""))</f>
        <v/>
      </c>
    </row>
    <row r="558" spans="7:36" ht="25" customHeight="1" x14ac:dyDescent="0.35">
      <c r="G558" s="15" t="str">
        <f t="shared" si="54"/>
        <v/>
      </c>
      <c r="H558" s="12" t="str">
        <f t="shared" ca="1" si="55"/>
        <v/>
      </c>
      <c r="I558" s="14"/>
      <c r="J558" s="1" t="str">
        <f>IF(COUNTA(A558:F2845)=0,"",IF(#REF!="","BRAK PROTOKOŁU","DODANY"))</f>
        <v/>
      </c>
      <c r="K558" s="1"/>
      <c r="M558" s="13" t="str" cm="1">
        <f t="array" ref="M558">IF($A558="","",IFERROR(TRANSPOSE(_xlfn._xlws.FILTER(Lokale!$C$3:$C$91,Lokale!$B$3:$B$91=$A558)),""))</f>
        <v/>
      </c>
      <c r="AJ558" s="13" t="str" cm="1">
        <f t="array" ref="AJ558">IF($C558="","",IFERROR(TRANSPOSE(_xlfn._xlws.FILTER(Listy!$D$2:$D$60,Listy!$C$2:$C$60=$C558)),""))</f>
        <v/>
      </c>
    </row>
    <row r="559" spans="7:36" ht="25" customHeight="1" x14ac:dyDescent="0.35">
      <c r="G559" s="15" t="str">
        <f t="shared" si="54"/>
        <v/>
      </c>
      <c r="H559" s="12" t="str">
        <f t="shared" ca="1" si="55"/>
        <v/>
      </c>
      <c r="I559" s="14"/>
      <c r="J559" s="1" t="str">
        <f>IF(COUNTA(A559:F2846)=0,"",IF(#REF!="","BRAK PROTOKOŁU","DODANY"))</f>
        <v/>
      </c>
      <c r="K559" s="1"/>
      <c r="M559" s="13" t="str" cm="1">
        <f t="array" ref="M559">IF($A559="","",IFERROR(TRANSPOSE(_xlfn._xlws.FILTER(Lokale!$C$3:$C$91,Lokale!$B$3:$B$91=$A559)),""))</f>
        <v/>
      </c>
      <c r="AJ559" s="13" t="str" cm="1">
        <f t="array" ref="AJ559">IF($C559="","",IFERROR(TRANSPOSE(_xlfn._xlws.FILTER(Listy!$D$2:$D$60,Listy!$C$2:$C$60=$C559)),""))</f>
        <v/>
      </c>
    </row>
    <row r="560" spans="7:36" ht="25" customHeight="1" x14ac:dyDescent="0.35">
      <c r="G560" s="15" t="str">
        <f t="shared" si="54"/>
        <v/>
      </c>
      <c r="H560" s="12" t="str">
        <f t="shared" ca="1" si="55"/>
        <v/>
      </c>
      <c r="I560" s="14"/>
      <c r="J560" s="1" t="str">
        <f>IF(COUNTA(A560:F2847)=0,"",IF(#REF!="","BRAK PROTOKOŁU","DODANY"))</f>
        <v/>
      </c>
      <c r="K560" s="1"/>
      <c r="M560" s="13" t="str" cm="1">
        <f t="array" ref="M560">IF($A560="","",IFERROR(TRANSPOSE(_xlfn._xlws.FILTER(Lokale!$C$3:$C$91,Lokale!$B$3:$B$91=$A560)),""))</f>
        <v/>
      </c>
      <c r="AJ560" s="13" t="str" cm="1">
        <f t="array" ref="AJ560">IF($C560="","",IFERROR(TRANSPOSE(_xlfn._xlws.FILTER(Listy!$D$2:$D$60,Listy!$C$2:$C$60=$C560)),""))</f>
        <v/>
      </c>
    </row>
    <row r="561" spans="7:36" ht="25" customHeight="1" x14ac:dyDescent="0.35">
      <c r="G561" s="15" t="str">
        <f t="shared" si="54"/>
        <v/>
      </c>
      <c r="H561" s="12" t="str">
        <f t="shared" ca="1" si="55"/>
        <v/>
      </c>
      <c r="I561" s="14"/>
      <c r="J561" s="1" t="str">
        <f>IF(COUNTA(A561:F2848)=0,"",IF(#REF!="","BRAK PROTOKOŁU","DODANY"))</f>
        <v/>
      </c>
      <c r="K561" s="1"/>
      <c r="M561" s="13" t="str" cm="1">
        <f t="array" ref="M561">IF($A561="","",IFERROR(TRANSPOSE(_xlfn._xlws.FILTER(Lokale!$C$3:$C$91,Lokale!$B$3:$B$91=$A561)),""))</f>
        <v/>
      </c>
      <c r="AJ561" s="13" t="str" cm="1">
        <f t="array" ref="AJ561">IF($C561="","",IFERROR(TRANSPOSE(_xlfn._xlws.FILTER(Listy!$D$2:$D$60,Listy!$C$2:$C$60=$C561)),""))</f>
        <v/>
      </c>
    </row>
    <row r="562" spans="7:36" ht="25" customHeight="1" x14ac:dyDescent="0.35">
      <c r="G562" s="15" t="str">
        <f t="shared" si="54"/>
        <v/>
      </c>
      <c r="H562" s="12" t="str">
        <f t="shared" ca="1" si="55"/>
        <v/>
      </c>
      <c r="I562" s="14"/>
      <c r="J562" s="1" t="str">
        <f>IF(COUNTA(A562:F2849)=0,"",IF(#REF!="","BRAK PROTOKOŁU","DODANY"))</f>
        <v/>
      </c>
      <c r="K562" s="1"/>
      <c r="M562" s="13" t="str" cm="1">
        <f t="array" ref="M562">IF($A562="","",IFERROR(TRANSPOSE(_xlfn._xlws.FILTER(Lokale!$C$3:$C$91,Lokale!$B$3:$B$91=$A562)),""))</f>
        <v/>
      </c>
      <c r="AJ562" s="13" t="str" cm="1">
        <f t="array" ref="AJ562">IF($C562="","",IFERROR(TRANSPOSE(_xlfn._xlws.FILTER(Listy!$D$2:$D$60,Listy!$C$2:$C$60=$C562)),""))</f>
        <v/>
      </c>
    </row>
    <row r="563" spans="7:36" ht="25" customHeight="1" x14ac:dyDescent="0.35">
      <c r="G563" s="15" t="str">
        <f t="shared" si="54"/>
        <v/>
      </c>
      <c r="H563" s="12" t="str">
        <f t="shared" ca="1" si="55"/>
        <v/>
      </c>
      <c r="I563" s="14"/>
      <c r="J563" s="1" t="str">
        <f>IF(COUNTA(A563:F2850)=0,"",IF(#REF!="","BRAK PROTOKOŁU","DODANY"))</f>
        <v/>
      </c>
      <c r="K563" s="1"/>
      <c r="M563" s="13" t="str" cm="1">
        <f t="array" ref="M563">IF($A563="","",IFERROR(TRANSPOSE(_xlfn._xlws.FILTER(Lokale!$C$3:$C$91,Lokale!$B$3:$B$91=$A563)),""))</f>
        <v/>
      </c>
      <c r="AJ563" s="13" t="str" cm="1">
        <f t="array" ref="AJ563">IF($C563="","",IFERROR(TRANSPOSE(_xlfn._xlws.FILTER(Listy!$D$2:$D$60,Listy!$C$2:$C$60=$C563)),""))</f>
        <v/>
      </c>
    </row>
    <row r="564" spans="7:36" ht="25" customHeight="1" x14ac:dyDescent="0.35">
      <c r="G564" s="15" t="str">
        <f t="shared" si="54"/>
        <v/>
      </c>
      <c r="H564" s="12" t="str">
        <f t="shared" ca="1" si="55"/>
        <v/>
      </c>
      <c r="I564" s="14"/>
      <c r="J564" s="1" t="str">
        <f>IF(COUNTA(A564:F2851)=0,"",IF(#REF!="","BRAK PROTOKOŁU","DODANY"))</f>
        <v/>
      </c>
      <c r="K564" s="1"/>
      <c r="M564" s="13" t="str" cm="1">
        <f t="array" ref="M564">IF($A564="","",IFERROR(TRANSPOSE(_xlfn._xlws.FILTER(Lokale!$C$3:$C$91,Lokale!$B$3:$B$91=$A564)),""))</f>
        <v/>
      </c>
      <c r="AJ564" s="13" t="str" cm="1">
        <f t="array" ref="AJ564">IF($C564="","",IFERROR(TRANSPOSE(_xlfn._xlws.FILTER(Listy!$D$2:$D$60,Listy!$C$2:$C$60=$C564)),""))</f>
        <v/>
      </c>
    </row>
    <row r="565" spans="7:36" ht="25" customHeight="1" x14ac:dyDescent="0.35">
      <c r="G565" s="15" t="str">
        <f t="shared" si="54"/>
        <v/>
      </c>
      <c r="H565" s="12" t="str">
        <f t="shared" ca="1" si="55"/>
        <v/>
      </c>
      <c r="I565" s="14"/>
      <c r="J565" s="1" t="str">
        <f>IF(COUNTA(A565:F2852)=0,"",IF(#REF!="","BRAK PROTOKOŁU","DODANY"))</f>
        <v/>
      </c>
      <c r="K565" s="1"/>
      <c r="M565" s="13" t="str" cm="1">
        <f t="array" ref="M565">IF($A565="","",IFERROR(TRANSPOSE(_xlfn._xlws.FILTER(Lokale!$C$3:$C$91,Lokale!$B$3:$B$91=$A565)),""))</f>
        <v/>
      </c>
      <c r="AJ565" s="13" t="str" cm="1">
        <f t="array" ref="AJ565">IF($C565="","",IFERROR(TRANSPOSE(_xlfn._xlws.FILTER(Listy!$D$2:$D$60,Listy!$C$2:$C$60=$C565)),""))</f>
        <v/>
      </c>
    </row>
    <row r="566" spans="7:36" ht="25" customHeight="1" x14ac:dyDescent="0.35">
      <c r="G566" s="15" t="str">
        <f t="shared" si="54"/>
        <v/>
      </c>
      <c r="H566" s="12" t="str">
        <f t="shared" ca="1" si="55"/>
        <v/>
      </c>
      <c r="I566" s="14"/>
      <c r="J566" s="1" t="str">
        <f>IF(COUNTA(A566:F2853)=0,"",IF(#REF!="","BRAK PROTOKOŁU","DODANY"))</f>
        <v/>
      </c>
      <c r="K566" s="1"/>
      <c r="M566" s="13" t="str" cm="1">
        <f t="array" ref="M566">IF($A566="","",IFERROR(TRANSPOSE(_xlfn._xlws.FILTER(Lokale!$C$3:$C$91,Lokale!$B$3:$B$91=$A566)),""))</f>
        <v/>
      </c>
      <c r="AJ566" s="13" t="str" cm="1">
        <f t="array" ref="AJ566">IF($C566="","",IFERROR(TRANSPOSE(_xlfn._xlws.FILTER(Listy!$D$2:$D$60,Listy!$C$2:$C$60=$C566)),""))</f>
        <v/>
      </c>
    </row>
    <row r="567" spans="7:36" ht="25" customHeight="1" x14ac:dyDescent="0.35">
      <c r="G567" s="15" t="str">
        <f t="shared" si="54"/>
        <v/>
      </c>
      <c r="H567" s="12" t="str">
        <f t="shared" ca="1" si="55"/>
        <v/>
      </c>
      <c r="I567" s="14"/>
      <c r="J567" s="1" t="str">
        <f>IF(COUNTA(A567:F2854)=0,"",IF(#REF!="","BRAK PROTOKOŁU","DODANY"))</f>
        <v/>
      </c>
      <c r="K567" s="1"/>
      <c r="M567" s="13" t="str" cm="1">
        <f t="array" ref="M567">IF($A567="","",IFERROR(TRANSPOSE(_xlfn._xlws.FILTER(Lokale!$C$3:$C$91,Lokale!$B$3:$B$91=$A567)),""))</f>
        <v/>
      </c>
      <c r="AJ567" s="13" t="str" cm="1">
        <f t="array" ref="AJ567">IF($C567="","",IFERROR(TRANSPOSE(_xlfn._xlws.FILTER(Listy!$D$2:$D$60,Listy!$C$2:$C$60=$C567)),""))</f>
        <v/>
      </c>
    </row>
    <row r="568" spans="7:36" ht="25" customHeight="1" x14ac:dyDescent="0.35">
      <c r="G568" s="15" t="str">
        <f t="shared" si="54"/>
        <v/>
      </c>
      <c r="H568" s="12" t="str">
        <f t="shared" ca="1" si="55"/>
        <v/>
      </c>
      <c r="I568" s="14"/>
      <c r="J568" s="1" t="str">
        <f>IF(COUNTA(A568:F2855)=0,"",IF(#REF!="","BRAK PROTOKOŁU","DODANY"))</f>
        <v/>
      </c>
      <c r="K568" s="1"/>
      <c r="M568" s="13" t="str" cm="1">
        <f t="array" ref="M568">IF($A568="","",IFERROR(TRANSPOSE(_xlfn._xlws.FILTER(Lokale!$C$3:$C$91,Lokale!$B$3:$B$91=$A568)),""))</f>
        <v/>
      </c>
      <c r="AJ568" s="13" t="str" cm="1">
        <f t="array" ref="AJ568">IF($C568="","",IFERROR(TRANSPOSE(_xlfn._xlws.FILTER(Listy!$D$2:$D$60,Listy!$C$2:$C$60=$C568)),""))</f>
        <v/>
      </c>
    </row>
    <row r="569" spans="7:36" ht="25" customHeight="1" x14ac:dyDescent="0.35">
      <c r="G569" s="15" t="str">
        <f t="shared" si="54"/>
        <v/>
      </c>
      <c r="H569" s="12" t="str">
        <f t="shared" ca="1" si="55"/>
        <v/>
      </c>
      <c r="I569" s="14"/>
      <c r="J569" s="1" t="str">
        <f>IF(COUNTA(A569:F2856)=0,"",IF(#REF!="","BRAK PROTOKOŁU","DODANY"))</f>
        <v/>
      </c>
      <c r="K569" s="1"/>
      <c r="M569" s="13" t="str" cm="1">
        <f t="array" ref="M569">IF($A569="","",IFERROR(TRANSPOSE(_xlfn._xlws.FILTER(Lokale!$C$3:$C$91,Lokale!$B$3:$B$91=$A569)),""))</f>
        <v/>
      </c>
      <c r="AJ569" s="13" t="str" cm="1">
        <f t="array" ref="AJ569">IF($C569="","",IFERROR(TRANSPOSE(_xlfn._xlws.FILTER(Listy!$D$2:$D$60,Listy!$C$2:$C$60=$C569)),""))</f>
        <v/>
      </c>
    </row>
    <row r="570" spans="7:36" ht="25" customHeight="1" x14ac:dyDescent="0.35">
      <c r="G570" s="15" t="str">
        <f t="shared" si="54"/>
        <v/>
      </c>
      <c r="H570" s="12" t="str">
        <f t="shared" ca="1" si="55"/>
        <v/>
      </c>
      <c r="I570" s="14"/>
      <c r="J570" s="1" t="str">
        <f>IF(COUNTA(A570:F2857)=0,"",IF(#REF!="","BRAK PROTOKOŁU","DODANY"))</f>
        <v/>
      </c>
      <c r="K570" s="1"/>
      <c r="M570" s="13" t="str" cm="1">
        <f t="array" ref="M570">IF($A570="","",IFERROR(TRANSPOSE(_xlfn._xlws.FILTER(Lokale!$C$3:$C$91,Lokale!$B$3:$B$91=$A570)),""))</f>
        <v/>
      </c>
      <c r="AJ570" s="13" t="str" cm="1">
        <f t="array" ref="AJ570">IF($C570="","",IFERROR(TRANSPOSE(_xlfn._xlws.FILTER(Listy!$D$2:$D$60,Listy!$C$2:$C$60=$C570)),""))</f>
        <v/>
      </c>
    </row>
    <row r="571" spans="7:36" ht="25" customHeight="1" x14ac:dyDescent="0.35">
      <c r="G571" s="15" t="str">
        <f t="shared" si="54"/>
        <v/>
      </c>
      <c r="H571" s="12" t="str">
        <f t="shared" ca="1" si="55"/>
        <v/>
      </c>
      <c r="I571" s="14"/>
      <c r="J571" s="1" t="str">
        <f>IF(COUNTA(A571:F2858)=0,"",IF(#REF!="","BRAK PROTOKOŁU","DODANY"))</f>
        <v/>
      </c>
      <c r="K571" s="1"/>
      <c r="M571" s="13" t="str" cm="1">
        <f t="array" ref="M571">IF($A571="","",IFERROR(TRANSPOSE(_xlfn._xlws.FILTER(Lokale!$C$3:$C$91,Lokale!$B$3:$B$91=$A571)),""))</f>
        <v/>
      </c>
      <c r="AJ571" s="13" t="str" cm="1">
        <f t="array" ref="AJ571">IF($C571="","",IFERROR(TRANSPOSE(_xlfn._xlws.FILTER(Listy!$D$2:$D$60,Listy!$C$2:$C$60=$C571)),""))</f>
        <v/>
      </c>
    </row>
    <row r="572" spans="7:36" ht="25" customHeight="1" x14ac:dyDescent="0.35">
      <c r="G572" s="15" t="str">
        <f t="shared" si="54"/>
        <v/>
      </c>
      <c r="H572" s="12" t="str">
        <f t="shared" ca="1" si="55"/>
        <v/>
      </c>
      <c r="I572" s="14"/>
      <c r="J572" s="1" t="str">
        <f>IF(COUNTA(A572:F2859)=0,"",IF(#REF!="","BRAK PROTOKOŁU","DODANY"))</f>
        <v/>
      </c>
      <c r="K572" s="1"/>
      <c r="M572" s="13" t="str" cm="1">
        <f t="array" ref="M572">IF($A572="","",IFERROR(TRANSPOSE(_xlfn._xlws.FILTER(Lokale!$C$3:$C$91,Lokale!$B$3:$B$91=$A572)),""))</f>
        <v/>
      </c>
      <c r="AJ572" s="13" t="str" cm="1">
        <f t="array" ref="AJ572">IF($C572="","",IFERROR(TRANSPOSE(_xlfn._xlws.FILTER(Listy!$D$2:$D$60,Listy!$C$2:$C$60=$C572)),""))</f>
        <v/>
      </c>
    </row>
    <row r="573" spans="7:36" ht="25" customHeight="1" x14ac:dyDescent="0.35">
      <c r="G573" s="15" t="str">
        <f t="shared" si="54"/>
        <v/>
      </c>
      <c r="H573" s="12" t="str">
        <f t="shared" ca="1" si="55"/>
        <v/>
      </c>
      <c r="I573" s="14"/>
      <c r="J573" s="1" t="str">
        <f>IF(COUNTA(A573:F2860)=0,"",IF(#REF!="","BRAK PROTOKOŁU","DODANY"))</f>
        <v/>
      </c>
      <c r="K573" s="1"/>
      <c r="M573" s="13" t="str" cm="1">
        <f t="array" ref="M573">IF($A573="","",IFERROR(TRANSPOSE(_xlfn._xlws.FILTER(Lokale!$C$3:$C$91,Lokale!$B$3:$B$91=$A573)),""))</f>
        <v/>
      </c>
      <c r="AJ573" s="13" t="str" cm="1">
        <f t="array" ref="AJ573">IF($C573="","",IFERROR(TRANSPOSE(_xlfn._xlws.FILTER(Listy!$D$2:$D$60,Listy!$C$2:$C$60=$C573)),""))</f>
        <v/>
      </c>
    </row>
    <row r="574" spans="7:36" ht="25" customHeight="1" x14ac:dyDescent="0.35">
      <c r="G574" s="15" t="str">
        <f t="shared" si="54"/>
        <v/>
      </c>
      <c r="H574" s="12" t="str">
        <f t="shared" ca="1" si="55"/>
        <v/>
      </c>
      <c r="I574" s="14"/>
      <c r="J574" s="1" t="str">
        <f>IF(COUNTA(A574:F2861)=0,"",IF(#REF!="","BRAK PROTOKOŁU","DODANY"))</f>
        <v/>
      </c>
      <c r="K574" s="1"/>
      <c r="M574" s="13" t="str" cm="1">
        <f t="array" ref="M574">IF($A574="","",IFERROR(TRANSPOSE(_xlfn._xlws.FILTER(Lokale!$C$3:$C$91,Lokale!$B$3:$B$91=$A574)),""))</f>
        <v/>
      </c>
      <c r="AJ574" s="13" t="str" cm="1">
        <f t="array" ref="AJ574">IF($C574="","",IFERROR(TRANSPOSE(_xlfn._xlws.FILTER(Listy!$D$2:$D$60,Listy!$C$2:$C$60=$C574)),""))</f>
        <v/>
      </c>
    </row>
    <row r="575" spans="7:36" ht="25" customHeight="1" x14ac:dyDescent="0.35">
      <c r="G575" s="15" t="str">
        <f t="shared" si="54"/>
        <v/>
      </c>
      <c r="H575" s="12" t="str">
        <f t="shared" ca="1" si="55"/>
        <v/>
      </c>
      <c r="I575" s="14"/>
      <c r="J575" s="1" t="str">
        <f>IF(COUNTA(A575:F2862)=0,"",IF(#REF!="","BRAK PROTOKOŁU","DODANY"))</f>
        <v/>
      </c>
      <c r="K575" s="1"/>
      <c r="M575" s="13" t="str" cm="1">
        <f t="array" ref="M575">IF($A575="","",IFERROR(TRANSPOSE(_xlfn._xlws.FILTER(Lokale!$C$3:$C$91,Lokale!$B$3:$B$91=$A575)),""))</f>
        <v/>
      </c>
      <c r="AJ575" s="13" t="str" cm="1">
        <f t="array" ref="AJ575">IF($C575="","",IFERROR(TRANSPOSE(_xlfn._xlws.FILTER(Listy!$D$2:$D$60,Listy!$C$2:$C$60=$C575)),""))</f>
        <v/>
      </c>
    </row>
    <row r="576" spans="7:36" ht="25" customHeight="1" x14ac:dyDescent="0.35">
      <c r="G576" s="15" t="str">
        <f t="shared" si="54"/>
        <v/>
      </c>
      <c r="H576" s="12" t="str">
        <f t="shared" ca="1" si="55"/>
        <v/>
      </c>
      <c r="I576" s="14"/>
      <c r="J576" s="1" t="str">
        <f>IF(COUNTA(A576:F2863)=0,"",IF(#REF!="","BRAK PROTOKOŁU","DODANY"))</f>
        <v/>
      </c>
      <c r="K576" s="1"/>
      <c r="M576" s="13" t="str" cm="1">
        <f t="array" ref="M576">IF($A576="","",IFERROR(TRANSPOSE(_xlfn._xlws.FILTER(Lokale!$C$3:$C$91,Lokale!$B$3:$B$91=$A576)),""))</f>
        <v/>
      </c>
      <c r="AJ576" s="13" t="str" cm="1">
        <f t="array" ref="AJ576">IF($C576="","",IFERROR(TRANSPOSE(_xlfn._xlws.FILTER(Listy!$D$2:$D$60,Listy!$C$2:$C$60=$C576)),""))</f>
        <v/>
      </c>
    </row>
    <row r="577" spans="7:36" ht="25" customHeight="1" x14ac:dyDescent="0.35">
      <c r="G577" s="15" t="str">
        <f t="shared" si="54"/>
        <v/>
      </c>
      <c r="H577" s="12" t="str">
        <f t="shared" ca="1" si="55"/>
        <v/>
      </c>
      <c r="I577" s="14"/>
      <c r="J577" s="1" t="str">
        <f>IF(COUNTA(A577:F2864)=0,"",IF(#REF!="","BRAK PROTOKOŁU","DODANY"))</f>
        <v/>
      </c>
      <c r="K577" s="1"/>
      <c r="M577" s="13" t="str" cm="1">
        <f t="array" ref="M577">IF($A577="","",IFERROR(TRANSPOSE(_xlfn._xlws.FILTER(Lokale!$C$3:$C$91,Lokale!$B$3:$B$91=$A577)),""))</f>
        <v/>
      </c>
      <c r="AJ577" s="13" t="str" cm="1">
        <f t="array" ref="AJ577">IF($C577="","",IFERROR(TRANSPOSE(_xlfn._xlws.FILTER(Listy!$D$2:$D$60,Listy!$C$2:$C$60=$C577)),""))</f>
        <v/>
      </c>
    </row>
    <row r="578" spans="7:36" ht="25" customHeight="1" x14ac:dyDescent="0.35">
      <c r="G578" s="15" t="str">
        <f t="shared" si="54"/>
        <v/>
      </c>
      <c r="H578" s="12" t="str">
        <f t="shared" ca="1" si="55"/>
        <v/>
      </c>
      <c r="I578" s="14"/>
      <c r="J578" s="1" t="str">
        <f>IF(COUNTA(A578:F2865)=0,"",IF(#REF!="","BRAK PROTOKOŁU","DODANY"))</f>
        <v/>
      </c>
      <c r="K578" s="1"/>
      <c r="M578" s="13" t="str" cm="1">
        <f t="array" ref="M578">IF($A578="","",IFERROR(TRANSPOSE(_xlfn._xlws.FILTER(Lokale!$C$3:$C$91,Lokale!$B$3:$B$91=$A578)),""))</f>
        <v/>
      </c>
      <c r="AJ578" s="13" t="str" cm="1">
        <f t="array" ref="AJ578">IF($C578="","",IFERROR(TRANSPOSE(_xlfn._xlws.FILTER(Listy!$D$2:$D$60,Listy!$C$2:$C$60=$C578)),""))</f>
        <v/>
      </c>
    </row>
    <row r="579" spans="7:36" ht="25" customHeight="1" x14ac:dyDescent="0.35">
      <c r="G579" s="15" t="str">
        <f t="shared" si="54"/>
        <v/>
      </c>
      <c r="H579" s="12" t="str">
        <f t="shared" ca="1" si="55"/>
        <v/>
      </c>
      <c r="I579" s="14"/>
      <c r="J579" s="1" t="str">
        <f>IF(COUNTA(A579:F2866)=0,"",IF(#REF!="","BRAK PROTOKOŁU","DODANY"))</f>
        <v/>
      </c>
      <c r="K579" s="1"/>
      <c r="M579" s="13" t="str" cm="1">
        <f t="array" ref="M579">IF($A579="","",IFERROR(TRANSPOSE(_xlfn._xlws.FILTER(Lokale!$C$3:$C$91,Lokale!$B$3:$B$91=$A579)),""))</f>
        <v/>
      </c>
      <c r="AJ579" s="13" t="str" cm="1">
        <f t="array" ref="AJ579">IF($C579="","",IFERROR(TRANSPOSE(_xlfn._xlws.FILTER(Listy!$D$2:$D$60,Listy!$C$2:$C$60=$C579)),""))</f>
        <v/>
      </c>
    </row>
    <row r="580" spans="7:36" ht="25" customHeight="1" x14ac:dyDescent="0.35">
      <c r="G580" s="15" t="str">
        <f t="shared" si="54"/>
        <v/>
      </c>
      <c r="H580" s="12" t="str">
        <f t="shared" ca="1" si="55"/>
        <v/>
      </c>
      <c r="I580" s="14"/>
      <c r="J580" s="1" t="str">
        <f>IF(COUNTA(A580:F2867)=0,"",IF(#REF!="","BRAK PROTOKOŁU","DODANY"))</f>
        <v/>
      </c>
      <c r="K580" s="1"/>
      <c r="M580" s="13" t="str" cm="1">
        <f t="array" ref="M580">IF($A580="","",IFERROR(TRANSPOSE(_xlfn._xlws.FILTER(Lokale!$C$3:$C$91,Lokale!$B$3:$B$91=$A580)),""))</f>
        <v/>
      </c>
      <c r="AJ580" s="13" t="str" cm="1">
        <f t="array" ref="AJ580">IF($C580="","",IFERROR(TRANSPOSE(_xlfn._xlws.FILTER(Listy!$D$2:$D$60,Listy!$C$2:$C$60=$C580)),""))</f>
        <v/>
      </c>
    </row>
    <row r="581" spans="7:36" ht="25" customHeight="1" x14ac:dyDescent="0.35">
      <c r="G581" s="15" t="str">
        <f t="shared" si="54"/>
        <v/>
      </c>
      <c r="H581" s="12" t="str">
        <f t="shared" ca="1" si="55"/>
        <v/>
      </c>
      <c r="I581" s="14"/>
      <c r="J581" s="1" t="str">
        <f>IF(COUNTA(A581:F2868)=0,"",IF(#REF!="","BRAK PROTOKOŁU","DODANY"))</f>
        <v/>
      </c>
      <c r="K581" s="1"/>
      <c r="M581" s="13" t="str" cm="1">
        <f t="array" ref="M581">IF($A581="","",IFERROR(TRANSPOSE(_xlfn._xlws.FILTER(Lokale!$C$3:$C$91,Lokale!$B$3:$B$91=$A581)),""))</f>
        <v/>
      </c>
      <c r="AJ581" s="13" t="str" cm="1">
        <f t="array" ref="AJ581">IF($C581="","",IFERROR(TRANSPOSE(_xlfn._xlws.FILTER(Listy!$D$2:$D$60,Listy!$C$2:$C$60=$C581)),""))</f>
        <v/>
      </c>
    </row>
    <row r="582" spans="7:36" ht="25" customHeight="1" x14ac:dyDescent="0.35">
      <c r="G582" s="15" t="str">
        <f t="shared" si="54"/>
        <v/>
      </c>
      <c r="H582" s="12" t="str">
        <f t="shared" ca="1" si="55"/>
        <v/>
      </c>
      <c r="I582" s="14"/>
      <c r="J582" s="1" t="str">
        <f>IF(COUNTA(A582:F2869)=0,"",IF(#REF!="","BRAK PROTOKOŁU","DODANY"))</f>
        <v/>
      </c>
      <c r="K582" s="1"/>
      <c r="M582" s="13" t="str" cm="1">
        <f t="array" ref="M582">IF($A582="","",IFERROR(TRANSPOSE(_xlfn._xlws.FILTER(Lokale!$C$3:$C$91,Lokale!$B$3:$B$91=$A582)),""))</f>
        <v/>
      </c>
      <c r="AJ582" s="13" t="str" cm="1">
        <f t="array" ref="AJ582">IF($C582="","",IFERROR(TRANSPOSE(_xlfn._xlws.FILTER(Listy!$D$2:$D$60,Listy!$C$2:$C$60=$C582)),""))</f>
        <v/>
      </c>
    </row>
    <row r="583" spans="7:36" ht="25" customHeight="1" x14ac:dyDescent="0.35">
      <c r="G583" s="15" t="str">
        <f t="shared" si="54"/>
        <v/>
      </c>
      <c r="H583" s="12" t="str">
        <f t="shared" ca="1" si="55"/>
        <v/>
      </c>
      <c r="I583" s="14"/>
      <c r="J583" s="1" t="str">
        <f>IF(COUNTA(A583:F2870)=0,"",IF(#REF!="","BRAK PROTOKOŁU","DODANY"))</f>
        <v/>
      </c>
      <c r="K583" s="1"/>
      <c r="M583" s="13" t="str" cm="1">
        <f t="array" ref="M583">IF($A583="","",IFERROR(TRANSPOSE(_xlfn._xlws.FILTER(Lokale!$C$3:$C$91,Lokale!$B$3:$B$91=$A583)),""))</f>
        <v/>
      </c>
      <c r="AJ583" s="13" t="str" cm="1">
        <f t="array" ref="AJ583">IF($C583="","",IFERROR(TRANSPOSE(_xlfn._xlws.FILTER(Listy!$D$2:$D$60,Listy!$C$2:$C$60=$C583)),""))</f>
        <v/>
      </c>
    </row>
    <row r="584" spans="7:36" ht="25" customHeight="1" x14ac:dyDescent="0.35">
      <c r="G584" s="15" t="str">
        <f t="shared" si="54"/>
        <v/>
      </c>
      <c r="H584" s="12" t="str">
        <f t="shared" ca="1" si="55"/>
        <v/>
      </c>
      <c r="I584" s="14"/>
      <c r="J584" s="1" t="str">
        <f>IF(COUNTA(A584:F2871)=0,"",IF(#REF!="","BRAK PROTOKOŁU","DODANY"))</f>
        <v/>
      </c>
      <c r="K584" s="1"/>
      <c r="M584" s="13" t="str" cm="1">
        <f t="array" ref="M584">IF($A584="","",IFERROR(TRANSPOSE(_xlfn._xlws.FILTER(Lokale!$C$3:$C$91,Lokale!$B$3:$B$91=$A584)),""))</f>
        <v/>
      </c>
      <c r="AJ584" s="13" t="str" cm="1">
        <f t="array" ref="AJ584">IF($C584="","",IFERROR(TRANSPOSE(_xlfn._xlws.FILTER(Listy!$D$2:$D$60,Listy!$C$2:$C$60=$C584)),""))</f>
        <v/>
      </c>
    </row>
    <row r="585" spans="7:36" ht="25" customHeight="1" x14ac:dyDescent="0.35">
      <c r="G585" s="15" t="str">
        <f t="shared" si="54"/>
        <v/>
      </c>
      <c r="H585" s="12" t="str">
        <f t="shared" ca="1" si="55"/>
        <v/>
      </c>
      <c r="I585" s="14"/>
      <c r="J585" s="1" t="str">
        <f>IF(COUNTA(A585:F2872)=0,"",IF(#REF!="","BRAK PROTOKOŁU","DODANY"))</f>
        <v/>
      </c>
      <c r="K585" s="1"/>
      <c r="M585" s="13" t="str" cm="1">
        <f t="array" ref="M585">IF($A585="","",IFERROR(TRANSPOSE(_xlfn._xlws.FILTER(Lokale!$C$3:$C$91,Lokale!$B$3:$B$91=$A585)),""))</f>
        <v/>
      </c>
      <c r="AJ585" s="13" t="str" cm="1">
        <f t="array" ref="AJ585">IF($C585="","",IFERROR(TRANSPOSE(_xlfn._xlws.FILTER(Listy!$D$2:$D$60,Listy!$C$2:$C$60=$C585)),""))</f>
        <v/>
      </c>
    </row>
    <row r="586" spans="7:36" ht="25" customHeight="1" x14ac:dyDescent="0.35">
      <c r="G586" s="15" t="str">
        <f t="shared" si="54"/>
        <v/>
      </c>
      <c r="H586" s="12" t="str">
        <f t="shared" ca="1" si="55"/>
        <v/>
      </c>
      <c r="I586" s="14"/>
      <c r="J586" s="1" t="str">
        <f>IF(COUNTA(A586:F2873)=0,"",IF(#REF!="","BRAK PROTOKOŁU","DODANY"))</f>
        <v/>
      </c>
      <c r="K586" s="1"/>
      <c r="M586" s="13" t="str" cm="1">
        <f t="array" ref="M586">IF($A586="","",IFERROR(TRANSPOSE(_xlfn._xlws.FILTER(Lokale!$C$3:$C$91,Lokale!$B$3:$B$91=$A586)),""))</f>
        <v/>
      </c>
      <c r="AJ586" s="13" t="str" cm="1">
        <f t="array" ref="AJ586">IF($C586="","",IFERROR(TRANSPOSE(_xlfn._xlws.FILTER(Listy!$D$2:$D$60,Listy!$C$2:$C$60=$C586)),""))</f>
        <v/>
      </c>
    </row>
    <row r="587" spans="7:36" ht="25" customHeight="1" x14ac:dyDescent="0.35">
      <c r="G587" s="15" t="str">
        <f t="shared" si="54"/>
        <v/>
      </c>
      <c r="H587" s="12" t="str">
        <f t="shared" ca="1" si="55"/>
        <v/>
      </c>
      <c r="I587" s="14"/>
      <c r="J587" s="1" t="str">
        <f>IF(COUNTA(A587:F2874)=0,"",IF(#REF!="","BRAK PROTOKOŁU","DODANY"))</f>
        <v/>
      </c>
      <c r="K587" s="1"/>
      <c r="M587" s="13" t="str" cm="1">
        <f t="array" ref="M587">IF($A587="","",IFERROR(TRANSPOSE(_xlfn._xlws.FILTER(Lokale!$C$3:$C$91,Lokale!$B$3:$B$91=$A587)),""))</f>
        <v/>
      </c>
      <c r="AJ587" s="13" t="str" cm="1">
        <f t="array" ref="AJ587">IF($C587="","",IFERROR(TRANSPOSE(_xlfn._xlws.FILTER(Listy!$D$2:$D$60,Listy!$C$2:$C$60=$C587)),""))</f>
        <v/>
      </c>
    </row>
    <row r="588" spans="7:36" ht="25" customHeight="1" x14ac:dyDescent="0.35">
      <c r="G588" s="15" t="str">
        <f t="shared" si="54"/>
        <v/>
      </c>
      <c r="H588" s="12" t="str">
        <f t="shared" ca="1" si="55"/>
        <v/>
      </c>
      <c r="I588" s="14"/>
      <c r="J588" s="1" t="str">
        <f>IF(COUNTA(A588:F2875)=0,"",IF(#REF!="","BRAK PROTOKOŁU","DODANY"))</f>
        <v/>
      </c>
      <c r="K588" s="1"/>
      <c r="M588" s="13" t="str" cm="1">
        <f t="array" ref="M588">IF($A588="","",IFERROR(TRANSPOSE(_xlfn._xlws.FILTER(Lokale!$C$3:$C$91,Lokale!$B$3:$B$91=$A588)),""))</f>
        <v/>
      </c>
      <c r="AJ588" s="13" t="str" cm="1">
        <f t="array" ref="AJ588">IF($C588="","",IFERROR(TRANSPOSE(_xlfn._xlws.FILTER(Listy!$D$2:$D$60,Listy!$C$2:$C$60=$C588)),""))</f>
        <v/>
      </c>
    </row>
    <row r="589" spans="7:36" ht="25" customHeight="1" x14ac:dyDescent="0.35">
      <c r="G589" s="15" t="str">
        <f t="shared" si="54"/>
        <v/>
      </c>
      <c r="H589" s="12" t="str">
        <f t="shared" ca="1" si="55"/>
        <v/>
      </c>
      <c r="I589" s="14"/>
      <c r="J589" s="1" t="str">
        <f>IF(COUNTA(A589:F2876)=0,"",IF(#REF!="","BRAK PROTOKOŁU","DODANY"))</f>
        <v/>
      </c>
      <c r="K589" s="1"/>
      <c r="M589" s="13" t="str" cm="1">
        <f t="array" ref="M589">IF($A589="","",IFERROR(TRANSPOSE(_xlfn._xlws.FILTER(Lokale!$C$3:$C$91,Lokale!$B$3:$B$91=$A589)),""))</f>
        <v/>
      </c>
      <c r="AJ589" s="13" t="str" cm="1">
        <f t="array" ref="AJ589">IF($C589="","",IFERROR(TRANSPOSE(_xlfn._xlws.FILTER(Listy!$D$2:$D$60,Listy!$C$2:$C$60=$C589)),""))</f>
        <v/>
      </c>
    </row>
    <row r="590" spans="7:36" ht="25" customHeight="1" x14ac:dyDescent="0.35">
      <c r="G590" s="15" t="str">
        <f t="shared" si="54"/>
        <v/>
      </c>
      <c r="H590" s="12" t="str">
        <f t="shared" ca="1" si="55"/>
        <v/>
      </c>
      <c r="I590" s="14"/>
      <c r="J590" s="1" t="str">
        <f>IF(COUNTA(A590:F2877)=0,"",IF(#REF!="","BRAK PROTOKOŁU","DODANY"))</f>
        <v/>
      </c>
      <c r="K590" s="1"/>
      <c r="M590" s="13" t="str" cm="1">
        <f t="array" ref="M590">IF($A590="","",IFERROR(TRANSPOSE(_xlfn._xlws.FILTER(Lokale!$C$3:$C$91,Lokale!$B$3:$B$91=$A590)),""))</f>
        <v/>
      </c>
      <c r="AJ590" s="13" t="str" cm="1">
        <f t="array" ref="AJ590">IF($C590="","",IFERROR(TRANSPOSE(_xlfn._xlws.FILTER(Listy!$D$2:$D$60,Listy!$C$2:$C$60=$C590)),""))</f>
        <v/>
      </c>
    </row>
    <row r="591" spans="7:36" ht="25" customHeight="1" x14ac:dyDescent="0.35">
      <c r="G591" s="15" t="str">
        <f t="shared" si="54"/>
        <v/>
      </c>
      <c r="H591" s="12" t="str">
        <f t="shared" ca="1" si="55"/>
        <v/>
      </c>
      <c r="I591" s="14"/>
      <c r="J591" s="1" t="str">
        <f>IF(COUNTA(A591:F2878)=0,"",IF(#REF!="","BRAK PROTOKOŁU","DODANY"))</f>
        <v/>
      </c>
      <c r="K591" s="1"/>
      <c r="M591" s="13" t="str" cm="1">
        <f t="array" ref="M591">IF($A591="","",IFERROR(TRANSPOSE(_xlfn._xlws.FILTER(Lokale!$C$3:$C$91,Lokale!$B$3:$B$91=$A591)),""))</f>
        <v/>
      </c>
      <c r="AJ591" s="13" t="str" cm="1">
        <f t="array" ref="AJ591">IF($C591="","",IFERROR(TRANSPOSE(_xlfn._xlws.FILTER(Listy!$D$2:$D$60,Listy!$C$2:$C$60=$C591)),""))</f>
        <v/>
      </c>
    </row>
    <row r="592" spans="7:36" ht="25" customHeight="1" x14ac:dyDescent="0.35">
      <c r="G592" s="15" t="str">
        <f t="shared" si="54"/>
        <v/>
      </c>
      <c r="H592" s="12" t="str">
        <f t="shared" ca="1" si="55"/>
        <v/>
      </c>
      <c r="I592" s="14"/>
      <c r="J592" s="1" t="str">
        <f>IF(COUNTA(A592:F2879)=0,"",IF(#REF!="","BRAK PROTOKOŁU","DODANY"))</f>
        <v/>
      </c>
      <c r="K592" s="1"/>
      <c r="M592" s="13" t="str" cm="1">
        <f t="array" ref="M592">IF($A592="","",IFERROR(TRANSPOSE(_xlfn._xlws.FILTER(Lokale!$C$3:$C$91,Lokale!$B$3:$B$91=$A592)),""))</f>
        <v/>
      </c>
      <c r="AJ592" s="13" t="str" cm="1">
        <f t="array" ref="AJ592">IF($C592="","",IFERROR(TRANSPOSE(_xlfn._xlws.FILTER(Listy!$D$2:$D$60,Listy!$C$2:$C$60=$C592)),""))</f>
        <v/>
      </c>
    </row>
    <row r="593" spans="7:36" ht="25" customHeight="1" x14ac:dyDescent="0.35">
      <c r="G593" s="15" t="str">
        <f t="shared" si="54"/>
        <v/>
      </c>
      <c r="H593" s="12" t="str">
        <f t="shared" ca="1" si="55"/>
        <v/>
      </c>
      <c r="I593" s="14"/>
      <c r="J593" s="1" t="str">
        <f>IF(COUNTA(A593:F2880)=0,"",IF(#REF!="","BRAK PROTOKOŁU","DODANY"))</f>
        <v/>
      </c>
      <c r="K593" s="1"/>
      <c r="M593" s="13" t="str" cm="1">
        <f t="array" ref="M593">IF($A593="","",IFERROR(TRANSPOSE(_xlfn._xlws.FILTER(Lokale!$C$3:$C$91,Lokale!$B$3:$B$91=$A593)),""))</f>
        <v/>
      </c>
      <c r="AJ593" s="13" t="str" cm="1">
        <f t="array" ref="AJ593">IF($C593="","",IFERROR(TRANSPOSE(_xlfn._xlws.FILTER(Listy!$D$2:$D$60,Listy!$C$2:$C$60=$C593)),""))</f>
        <v/>
      </c>
    </row>
    <row r="594" spans="7:36" ht="25" customHeight="1" x14ac:dyDescent="0.35">
      <c r="G594" s="15" t="str">
        <f t="shared" si="54"/>
        <v/>
      </c>
      <c r="H594" s="12" t="str">
        <f t="shared" ca="1" si="55"/>
        <v/>
      </c>
      <c r="I594" s="14"/>
      <c r="J594" s="1" t="str">
        <f>IF(COUNTA(A594:F2881)=0,"",IF(#REF!="","BRAK PROTOKOŁU","DODANY"))</f>
        <v/>
      </c>
      <c r="K594" s="1"/>
      <c r="M594" s="13" t="str" cm="1">
        <f t="array" ref="M594">IF($A594="","",IFERROR(TRANSPOSE(_xlfn._xlws.FILTER(Lokale!$C$3:$C$91,Lokale!$B$3:$B$91=$A594)),""))</f>
        <v/>
      </c>
      <c r="AJ594" s="13" t="str" cm="1">
        <f t="array" ref="AJ594">IF($C594="","",IFERROR(TRANSPOSE(_xlfn._xlws.FILTER(Listy!$D$2:$D$60,Listy!$C$2:$C$60=$C594)),""))</f>
        <v/>
      </c>
    </row>
    <row r="595" spans="7:36" ht="25" customHeight="1" x14ac:dyDescent="0.35">
      <c r="G595" s="15" t="str">
        <f t="shared" si="54"/>
        <v/>
      </c>
      <c r="H595" s="12" t="str">
        <f t="shared" ca="1" si="55"/>
        <v/>
      </c>
      <c r="I595" s="14"/>
      <c r="J595" s="1" t="str">
        <f>IF(COUNTA(A595:F2882)=0,"",IF(#REF!="","BRAK PROTOKOŁU","DODANY"))</f>
        <v/>
      </c>
      <c r="K595" s="1"/>
      <c r="M595" s="13" t="str" cm="1">
        <f t="array" ref="M595">IF($A595="","",IFERROR(TRANSPOSE(_xlfn._xlws.FILTER(Lokale!$C$3:$C$91,Lokale!$B$3:$B$91=$A595)),""))</f>
        <v/>
      </c>
      <c r="AJ595" s="13" t="str" cm="1">
        <f t="array" ref="AJ595">IF($C595="","",IFERROR(TRANSPOSE(_xlfn._xlws.FILTER(Listy!$D$2:$D$60,Listy!$C$2:$C$60=$C595)),""))</f>
        <v/>
      </c>
    </row>
    <row r="596" spans="7:36" ht="25" customHeight="1" x14ac:dyDescent="0.35">
      <c r="G596" s="15" t="str">
        <f t="shared" si="54"/>
        <v/>
      </c>
      <c r="H596" s="12" t="str">
        <f t="shared" ca="1" si="55"/>
        <v/>
      </c>
      <c r="I596" s="14"/>
      <c r="J596" s="1" t="str">
        <f>IF(COUNTA(A596:F2883)=0,"",IF(#REF!="","BRAK PROTOKOŁU","DODANY"))</f>
        <v/>
      </c>
      <c r="K596" s="1"/>
      <c r="M596" s="13" t="str" cm="1">
        <f t="array" ref="M596">IF($A596="","",IFERROR(TRANSPOSE(_xlfn._xlws.FILTER(Lokale!$C$3:$C$91,Lokale!$B$3:$B$91=$A596)),""))</f>
        <v/>
      </c>
      <c r="AJ596" s="13" t="str" cm="1">
        <f t="array" ref="AJ596">IF($C596="","",IFERROR(TRANSPOSE(_xlfn._xlws.FILTER(Listy!$D$2:$D$60,Listy!$C$2:$C$60=$C596)),""))</f>
        <v/>
      </c>
    </row>
    <row r="597" spans="7:36" ht="25" customHeight="1" x14ac:dyDescent="0.35">
      <c r="G597" s="15" t="str">
        <f t="shared" si="54"/>
        <v/>
      </c>
      <c r="H597" s="12" t="str">
        <f t="shared" ca="1" si="55"/>
        <v/>
      </c>
      <c r="I597" s="14"/>
      <c r="J597" s="1" t="str">
        <f>IF(COUNTA(A597:F2884)=0,"",IF(#REF!="","BRAK PROTOKOŁU","DODANY"))</f>
        <v/>
      </c>
      <c r="K597" s="1"/>
      <c r="M597" s="13" t="str" cm="1">
        <f t="array" ref="M597">IF($A597="","",IFERROR(TRANSPOSE(_xlfn._xlws.FILTER(Lokale!$C$3:$C$91,Lokale!$B$3:$B$91=$A597)),""))</f>
        <v/>
      </c>
      <c r="AJ597" s="13" t="str" cm="1">
        <f t="array" ref="AJ597">IF($C597="","",IFERROR(TRANSPOSE(_xlfn._xlws.FILTER(Listy!$D$2:$D$60,Listy!$C$2:$C$60=$C597)),""))</f>
        <v/>
      </c>
    </row>
    <row r="598" spans="7:36" ht="25" customHeight="1" x14ac:dyDescent="0.35">
      <c r="G598" s="15" t="str">
        <f t="shared" si="54"/>
        <v/>
      </c>
      <c r="H598" s="12" t="str">
        <f t="shared" ca="1" si="55"/>
        <v/>
      </c>
      <c r="I598" s="14"/>
      <c r="J598" s="1" t="str">
        <f>IF(COUNTA(A598:F2885)=0,"",IF(#REF!="","BRAK PROTOKOŁU","DODANY"))</f>
        <v/>
      </c>
      <c r="K598" s="1"/>
      <c r="M598" s="13" t="str" cm="1">
        <f t="array" ref="M598">IF($A598="","",IFERROR(TRANSPOSE(_xlfn._xlws.FILTER(Lokale!$C$3:$C$91,Lokale!$B$3:$B$91=$A598)),""))</f>
        <v/>
      </c>
      <c r="AJ598" s="13" t="str" cm="1">
        <f t="array" ref="AJ598">IF($C598="","",IFERROR(TRANSPOSE(_xlfn._xlws.FILTER(Listy!$D$2:$D$60,Listy!$C$2:$C$60=$C598)),""))</f>
        <v/>
      </c>
    </row>
    <row r="599" spans="7:36" ht="25" customHeight="1" x14ac:dyDescent="0.35">
      <c r="G599" s="15" t="str">
        <f t="shared" si="54"/>
        <v/>
      </c>
      <c r="H599" s="12" t="str">
        <f t="shared" ca="1" si="55"/>
        <v/>
      </c>
      <c r="I599" s="14"/>
      <c r="J599" s="1" t="str">
        <f>IF(COUNTA(A599:F2886)=0,"",IF(#REF!="","BRAK PROTOKOŁU","DODANY"))</f>
        <v/>
      </c>
      <c r="K599" s="1"/>
      <c r="M599" s="13" t="str" cm="1">
        <f t="array" ref="M599">IF($A599="","",IFERROR(TRANSPOSE(_xlfn._xlws.FILTER(Lokale!$C$3:$C$91,Lokale!$B$3:$B$91=$A599)),""))</f>
        <v/>
      </c>
      <c r="AJ599" s="13" t="str" cm="1">
        <f t="array" ref="AJ599">IF($C599="","",IFERROR(TRANSPOSE(_xlfn._xlws.FILTER(Listy!$D$2:$D$60,Listy!$C$2:$C$60=$C599)),""))</f>
        <v/>
      </c>
    </row>
    <row r="600" spans="7:36" ht="25" customHeight="1" x14ac:dyDescent="0.35">
      <c r="G600" s="15" t="str">
        <f t="shared" si="54"/>
        <v/>
      </c>
      <c r="H600" s="12" t="str">
        <f t="shared" ca="1" si="55"/>
        <v/>
      </c>
      <c r="I600" s="14"/>
      <c r="J600" s="1" t="str">
        <f>IF(COUNTA(A600:F2887)=0,"",IF(#REF!="","BRAK PROTOKOŁU","DODANY"))</f>
        <v/>
      </c>
      <c r="K600" s="1"/>
      <c r="M600" s="13" t="str" cm="1">
        <f t="array" ref="M600">IF($A600="","",IFERROR(TRANSPOSE(_xlfn._xlws.FILTER(Lokale!$C$3:$C$91,Lokale!$B$3:$B$91=$A600)),""))</f>
        <v/>
      </c>
      <c r="AJ600" s="13" t="str" cm="1">
        <f t="array" ref="AJ600">IF($C600="","",IFERROR(TRANSPOSE(_xlfn._xlws.FILTER(Listy!$D$2:$D$60,Listy!$C$2:$C$60=$C600)),""))</f>
        <v/>
      </c>
    </row>
    <row r="601" spans="7:36" ht="25" customHeight="1" x14ac:dyDescent="0.35">
      <c r="G601" s="15" t="str">
        <f t="shared" si="54"/>
        <v/>
      </c>
      <c r="H601" s="12" t="str">
        <f t="shared" ca="1" si="55"/>
        <v/>
      </c>
      <c r="I601" s="14"/>
      <c r="J601" s="1" t="str">
        <f>IF(COUNTA(A601:F2888)=0,"",IF(#REF!="","BRAK PROTOKOŁU","DODANY"))</f>
        <v/>
      </c>
      <c r="K601" s="1"/>
      <c r="M601" s="13" t="str" cm="1">
        <f t="array" ref="M601">IF($A601="","",IFERROR(TRANSPOSE(_xlfn._xlws.FILTER(Lokale!$C$3:$C$91,Lokale!$B$3:$B$91=$A601)),""))</f>
        <v/>
      </c>
      <c r="AJ601" s="13" t="str" cm="1">
        <f t="array" ref="AJ601">IF($C601="","",IFERROR(TRANSPOSE(_xlfn._xlws.FILTER(Listy!$D$2:$D$60,Listy!$C$2:$C$60=$C601)),""))</f>
        <v/>
      </c>
    </row>
    <row r="602" spans="7:36" ht="25" customHeight="1" x14ac:dyDescent="0.35">
      <c r="G602" s="15" t="str">
        <f t="shared" si="54"/>
        <v/>
      </c>
      <c r="H602" s="12" t="str">
        <f t="shared" ca="1" si="55"/>
        <v/>
      </c>
      <c r="I602" s="14"/>
      <c r="J602" s="1" t="str">
        <f>IF(COUNTA(A602:F2889)=0,"",IF(#REF!="","BRAK PROTOKOŁU","DODANY"))</f>
        <v/>
      </c>
      <c r="K602" s="1"/>
      <c r="M602" s="13" t="str" cm="1">
        <f t="array" ref="M602">IF($A602="","",IFERROR(TRANSPOSE(_xlfn._xlws.FILTER(Lokale!$C$3:$C$91,Lokale!$B$3:$B$91=$A602)),""))</f>
        <v/>
      </c>
      <c r="AJ602" s="13" t="str" cm="1">
        <f t="array" ref="AJ602">IF($C602="","",IFERROR(TRANSPOSE(_xlfn._xlws.FILTER(Listy!$D$2:$D$60,Listy!$C$2:$C$60=$C602)),""))</f>
        <v/>
      </c>
    </row>
    <row r="603" spans="7:36" ht="25" customHeight="1" x14ac:dyDescent="0.35">
      <c r="G603" s="15" t="str">
        <f t="shared" si="54"/>
        <v/>
      </c>
      <c r="H603" s="12" t="str">
        <f t="shared" ca="1" si="55"/>
        <v/>
      </c>
      <c r="I603" s="14"/>
      <c r="J603" s="1" t="str">
        <f>IF(COUNTA(A603:F2890)=0,"",IF(#REF!="","BRAK PROTOKOŁU","DODANY"))</f>
        <v/>
      </c>
      <c r="K603" s="1"/>
      <c r="M603" s="13" t="str" cm="1">
        <f t="array" ref="M603">IF($A603="","",IFERROR(TRANSPOSE(_xlfn._xlws.FILTER(Lokale!$C$3:$C$91,Lokale!$B$3:$B$91=$A603)),""))</f>
        <v/>
      </c>
      <c r="AJ603" s="13" t="str" cm="1">
        <f t="array" ref="AJ603">IF($C603="","",IFERROR(TRANSPOSE(_xlfn._xlws.FILTER(Listy!$D$2:$D$60,Listy!$C$2:$C$60=$C603)),""))</f>
        <v/>
      </c>
    </row>
    <row r="604" spans="7:36" ht="25" customHeight="1" x14ac:dyDescent="0.35">
      <c r="G604" s="15" t="str">
        <f t="shared" si="54"/>
        <v/>
      </c>
      <c r="H604" s="12" t="str">
        <f t="shared" ca="1" si="55"/>
        <v/>
      </c>
      <c r="I604" s="14"/>
      <c r="J604" s="1" t="str">
        <f>IF(COUNTA(A604:F2891)=0,"",IF(#REF!="","BRAK PROTOKOŁU","DODANY"))</f>
        <v/>
      </c>
      <c r="K604" s="1"/>
      <c r="M604" s="13" t="str" cm="1">
        <f t="array" ref="M604">IF($A604="","",IFERROR(TRANSPOSE(_xlfn._xlws.FILTER(Lokale!$C$3:$C$91,Lokale!$B$3:$B$91=$A604)),""))</f>
        <v/>
      </c>
      <c r="AJ604" s="13" t="str" cm="1">
        <f t="array" ref="AJ604">IF($C604="","",IFERROR(TRANSPOSE(_xlfn._xlws.FILTER(Listy!$D$2:$D$60,Listy!$C$2:$C$60=$C604)),""))</f>
        <v/>
      </c>
    </row>
    <row r="605" spans="7:36" ht="25" customHeight="1" x14ac:dyDescent="0.35">
      <c r="G605" s="15" t="str">
        <f t="shared" si="54"/>
        <v/>
      </c>
      <c r="H605" s="12" t="str">
        <f t="shared" ca="1" si="55"/>
        <v/>
      </c>
      <c r="I605" s="14"/>
      <c r="J605" s="1" t="str">
        <f>IF(COUNTA(A605:F2892)=0,"",IF(#REF!="","BRAK PROTOKOŁU","DODANY"))</f>
        <v/>
      </c>
      <c r="K605" s="1"/>
      <c r="M605" s="13" t="str" cm="1">
        <f t="array" ref="M605">IF($A605="","",IFERROR(TRANSPOSE(_xlfn._xlws.FILTER(Lokale!$C$3:$C$91,Lokale!$B$3:$B$91=$A605)),""))</f>
        <v/>
      </c>
      <c r="AJ605" s="13" t="str" cm="1">
        <f t="array" ref="AJ605">IF($C605="","",IFERROR(TRANSPOSE(_xlfn._xlws.FILTER(Listy!$D$2:$D$60,Listy!$C$2:$C$60=$C605)),""))</f>
        <v/>
      </c>
    </row>
    <row r="606" spans="7:36" ht="25" customHeight="1" x14ac:dyDescent="0.35">
      <c r="G606" s="15" t="str">
        <f t="shared" si="54"/>
        <v/>
      </c>
      <c r="H606" s="12" t="str">
        <f t="shared" ca="1" si="55"/>
        <v/>
      </c>
      <c r="I606" s="14"/>
      <c r="J606" s="1" t="str">
        <f>IF(COUNTA(A606:F2893)=0,"",IF(#REF!="","BRAK PROTOKOŁU","DODANY"))</f>
        <v/>
      </c>
      <c r="K606" s="1"/>
      <c r="M606" s="13" t="str" cm="1">
        <f t="array" ref="M606">IF($A606="","",IFERROR(TRANSPOSE(_xlfn._xlws.FILTER(Lokale!$C$3:$C$91,Lokale!$B$3:$B$91=$A606)),""))</f>
        <v/>
      </c>
      <c r="AJ606" s="13" t="str" cm="1">
        <f t="array" ref="AJ606">IF($C606="","",IFERROR(TRANSPOSE(_xlfn._xlws.FILTER(Listy!$D$2:$D$60,Listy!$C$2:$C$60=$C606)),""))</f>
        <v/>
      </c>
    </row>
    <row r="607" spans="7:36" ht="25" customHeight="1" x14ac:dyDescent="0.35">
      <c r="G607" s="15" t="str">
        <f t="shared" si="54"/>
        <v/>
      </c>
      <c r="H607" s="12" t="str">
        <f t="shared" ca="1" si="55"/>
        <v/>
      </c>
      <c r="I607" s="14"/>
      <c r="J607" s="1" t="str">
        <f>IF(COUNTA(A607:F2894)=0,"",IF(#REF!="","BRAK PROTOKOŁU","DODANY"))</f>
        <v/>
      </c>
      <c r="K607" s="1"/>
      <c r="M607" s="13" t="str" cm="1">
        <f t="array" ref="M607">IF($A607="","",IFERROR(TRANSPOSE(_xlfn._xlws.FILTER(Lokale!$C$3:$C$91,Lokale!$B$3:$B$91=$A607)),""))</f>
        <v/>
      </c>
      <c r="AJ607" s="13" t="str" cm="1">
        <f t="array" ref="AJ607">IF($C607="","",IFERROR(TRANSPOSE(_xlfn._xlws.FILTER(Listy!$D$2:$D$60,Listy!$C$2:$C$60=$C607)),""))</f>
        <v/>
      </c>
    </row>
    <row r="608" spans="7:36" ht="25" customHeight="1" x14ac:dyDescent="0.35">
      <c r="G608" s="15" t="str">
        <f t="shared" si="54"/>
        <v/>
      </c>
      <c r="H608" s="12" t="str">
        <f t="shared" ca="1" si="55"/>
        <v/>
      </c>
      <c r="I608" s="14"/>
      <c r="J608" s="1" t="str">
        <f>IF(COUNTA(A608:F2895)=0,"",IF(#REF!="","BRAK PROTOKOŁU","DODANY"))</f>
        <v/>
      </c>
      <c r="K608" s="1"/>
      <c r="M608" s="13" t="str" cm="1">
        <f t="array" ref="M608">IF($A608="","",IFERROR(TRANSPOSE(_xlfn._xlws.FILTER(Lokale!$C$3:$C$91,Lokale!$B$3:$B$91=$A608)),""))</f>
        <v/>
      </c>
      <c r="AJ608" s="13" t="str" cm="1">
        <f t="array" ref="AJ608">IF($C608="","",IFERROR(TRANSPOSE(_xlfn._xlws.FILTER(Listy!$D$2:$D$60,Listy!$C$2:$C$60=$C608)),""))</f>
        <v/>
      </c>
    </row>
    <row r="609" spans="7:36" ht="25" customHeight="1" x14ac:dyDescent="0.35">
      <c r="G609" s="15" t="str">
        <f t="shared" si="54"/>
        <v/>
      </c>
      <c r="H609" s="12" t="str">
        <f t="shared" ca="1" si="55"/>
        <v/>
      </c>
      <c r="I609" s="14"/>
      <c r="J609" s="1" t="str">
        <f>IF(COUNTA(A609:F2896)=0,"",IF(#REF!="","BRAK PROTOKOŁU","DODANY"))</f>
        <v/>
      </c>
      <c r="K609" s="1"/>
      <c r="M609" s="13" t="str" cm="1">
        <f t="array" ref="M609">IF($A609="","",IFERROR(TRANSPOSE(_xlfn._xlws.FILTER(Lokale!$C$3:$C$91,Lokale!$B$3:$B$91=$A609)),""))</f>
        <v/>
      </c>
      <c r="AJ609" s="13" t="str" cm="1">
        <f t="array" ref="AJ609">IF($C609="","",IFERROR(TRANSPOSE(_xlfn._xlws.FILTER(Listy!$D$2:$D$60,Listy!$C$2:$C$60=$C609)),""))</f>
        <v/>
      </c>
    </row>
    <row r="610" spans="7:36" ht="25" customHeight="1" x14ac:dyDescent="0.35">
      <c r="G610" s="15" t="str">
        <f t="shared" ref="G610:G673" si="56">IF(OR(E610="",F610=""),"",DATE(YEAR(E610),MONTH(E610)+F610,DAY(E610)))</f>
        <v/>
      </c>
      <c r="H610" s="12" t="str">
        <f t="shared" ref="H610:H673" ca="1" si="57">IF(G610="","",IF(G610&lt;TODAY(),"PO TERMINIE",IF(G610&lt;=TODAY()+14,"DO WYKONANIA","OK")))</f>
        <v/>
      </c>
      <c r="I610" s="14"/>
      <c r="J610" s="1" t="str">
        <f>IF(COUNTA(A610:F2897)=0,"",IF(#REF!="","BRAK PROTOKOŁU","DODANY"))</f>
        <v/>
      </c>
      <c r="K610" s="1"/>
      <c r="M610" s="13" t="str" cm="1">
        <f t="array" ref="M610">IF($A610="","",IFERROR(TRANSPOSE(_xlfn._xlws.FILTER(Lokale!$C$3:$C$91,Lokale!$B$3:$B$91=$A610)),""))</f>
        <v/>
      </c>
      <c r="AJ610" s="13" t="str" cm="1">
        <f t="array" ref="AJ610">IF($C610="","",IFERROR(TRANSPOSE(_xlfn._xlws.FILTER(Listy!$D$2:$D$60,Listy!$C$2:$C$60=$C610)),""))</f>
        <v/>
      </c>
    </row>
    <row r="611" spans="7:36" ht="25" customHeight="1" x14ac:dyDescent="0.35">
      <c r="G611" s="15" t="str">
        <f t="shared" si="56"/>
        <v/>
      </c>
      <c r="H611" s="12" t="str">
        <f t="shared" ca="1" si="57"/>
        <v/>
      </c>
      <c r="I611" s="14"/>
      <c r="J611" s="1" t="str">
        <f>IF(COUNTA(A611:F2898)=0,"",IF(#REF!="","BRAK PROTOKOŁU","DODANY"))</f>
        <v/>
      </c>
      <c r="K611" s="1"/>
      <c r="M611" s="13" t="str" cm="1">
        <f t="array" ref="M611">IF($A611="","",IFERROR(TRANSPOSE(_xlfn._xlws.FILTER(Lokale!$C$3:$C$91,Lokale!$B$3:$B$91=$A611)),""))</f>
        <v/>
      </c>
      <c r="AJ611" s="13" t="str" cm="1">
        <f t="array" ref="AJ611">IF($C611="","",IFERROR(TRANSPOSE(_xlfn._xlws.FILTER(Listy!$D$2:$D$60,Listy!$C$2:$C$60=$C611)),""))</f>
        <v/>
      </c>
    </row>
    <row r="612" spans="7:36" ht="25" customHeight="1" x14ac:dyDescent="0.35">
      <c r="G612" s="15" t="str">
        <f t="shared" si="56"/>
        <v/>
      </c>
      <c r="H612" s="12" t="str">
        <f t="shared" ca="1" si="57"/>
        <v/>
      </c>
      <c r="I612" s="14"/>
      <c r="J612" s="1" t="str">
        <f>IF(COUNTA(A612:F2899)=0,"",IF(#REF!="","BRAK PROTOKOŁU","DODANY"))</f>
        <v/>
      </c>
      <c r="K612" s="1"/>
      <c r="M612" s="13" t="str" cm="1">
        <f t="array" ref="M612">IF($A612="","",IFERROR(TRANSPOSE(_xlfn._xlws.FILTER(Lokale!$C$3:$C$91,Lokale!$B$3:$B$91=$A612)),""))</f>
        <v/>
      </c>
      <c r="AJ612" s="13" t="str" cm="1">
        <f t="array" ref="AJ612">IF($C612="","",IFERROR(TRANSPOSE(_xlfn._xlws.FILTER(Listy!$D$2:$D$60,Listy!$C$2:$C$60=$C612)),""))</f>
        <v/>
      </c>
    </row>
    <row r="613" spans="7:36" ht="25" customHeight="1" x14ac:dyDescent="0.35">
      <c r="G613" s="15" t="str">
        <f t="shared" si="56"/>
        <v/>
      </c>
      <c r="H613" s="12" t="str">
        <f t="shared" ca="1" si="57"/>
        <v/>
      </c>
      <c r="I613" s="14"/>
      <c r="J613" s="1" t="str">
        <f>IF(COUNTA(A613:F2900)=0,"",IF(#REF!="","BRAK PROTOKOŁU","DODANY"))</f>
        <v/>
      </c>
      <c r="K613" s="1"/>
      <c r="M613" s="13" t="str" cm="1">
        <f t="array" ref="M613">IF($A613="","",IFERROR(TRANSPOSE(_xlfn._xlws.FILTER(Lokale!$C$3:$C$91,Lokale!$B$3:$B$91=$A613)),""))</f>
        <v/>
      </c>
      <c r="AJ613" s="13" t="str" cm="1">
        <f t="array" ref="AJ613">IF($C613="","",IFERROR(TRANSPOSE(_xlfn._xlws.FILTER(Listy!$D$2:$D$60,Listy!$C$2:$C$60=$C613)),""))</f>
        <v/>
      </c>
    </row>
    <row r="614" spans="7:36" ht="25" customHeight="1" x14ac:dyDescent="0.35">
      <c r="G614" s="15" t="str">
        <f t="shared" si="56"/>
        <v/>
      </c>
      <c r="H614" s="12" t="str">
        <f t="shared" ca="1" si="57"/>
        <v/>
      </c>
      <c r="I614" s="14"/>
      <c r="J614" s="1" t="str">
        <f>IF(COUNTA(A614:F2901)=0,"",IF(#REF!="","BRAK PROTOKOŁU","DODANY"))</f>
        <v/>
      </c>
      <c r="K614" s="1"/>
      <c r="M614" s="13" t="str" cm="1">
        <f t="array" ref="M614">IF($A614="","",IFERROR(TRANSPOSE(_xlfn._xlws.FILTER(Lokale!$C$3:$C$91,Lokale!$B$3:$B$91=$A614)),""))</f>
        <v/>
      </c>
      <c r="AJ614" s="13" t="str" cm="1">
        <f t="array" ref="AJ614">IF($C614="","",IFERROR(TRANSPOSE(_xlfn._xlws.FILTER(Listy!$D$2:$D$60,Listy!$C$2:$C$60=$C614)),""))</f>
        <v/>
      </c>
    </row>
    <row r="615" spans="7:36" ht="25" customHeight="1" x14ac:dyDescent="0.35">
      <c r="G615" s="15" t="str">
        <f t="shared" si="56"/>
        <v/>
      </c>
      <c r="H615" s="12" t="str">
        <f t="shared" ca="1" si="57"/>
        <v/>
      </c>
      <c r="I615" s="14"/>
      <c r="J615" s="1" t="str">
        <f>IF(COUNTA(A615:F2902)=0,"",IF(#REF!="","BRAK PROTOKOŁU","DODANY"))</f>
        <v/>
      </c>
      <c r="K615" s="1"/>
      <c r="M615" s="13" t="str" cm="1">
        <f t="array" ref="M615">IF($A615="","",IFERROR(TRANSPOSE(_xlfn._xlws.FILTER(Lokale!$C$3:$C$91,Lokale!$B$3:$B$91=$A615)),""))</f>
        <v/>
      </c>
      <c r="AJ615" s="13" t="str" cm="1">
        <f t="array" ref="AJ615">IF($C615="","",IFERROR(TRANSPOSE(_xlfn._xlws.FILTER(Listy!$D$2:$D$60,Listy!$C$2:$C$60=$C615)),""))</f>
        <v/>
      </c>
    </row>
    <row r="616" spans="7:36" ht="25" customHeight="1" x14ac:dyDescent="0.35">
      <c r="G616" s="15" t="str">
        <f t="shared" si="56"/>
        <v/>
      </c>
      <c r="H616" s="12" t="str">
        <f t="shared" ca="1" si="57"/>
        <v/>
      </c>
      <c r="I616" s="14"/>
      <c r="J616" s="1" t="str">
        <f>IF(COUNTA(A616:F2903)=0,"",IF(#REF!="","BRAK PROTOKOŁU","DODANY"))</f>
        <v/>
      </c>
      <c r="K616" s="1"/>
      <c r="M616" s="13" t="str" cm="1">
        <f t="array" ref="M616">IF($A616="","",IFERROR(TRANSPOSE(_xlfn._xlws.FILTER(Lokale!$C$3:$C$91,Lokale!$B$3:$B$91=$A616)),""))</f>
        <v/>
      </c>
      <c r="AJ616" s="13" t="str" cm="1">
        <f t="array" ref="AJ616">IF($C616="","",IFERROR(TRANSPOSE(_xlfn._xlws.FILTER(Listy!$D$2:$D$60,Listy!$C$2:$C$60=$C616)),""))</f>
        <v/>
      </c>
    </row>
    <row r="617" spans="7:36" ht="25" customHeight="1" x14ac:dyDescent="0.35">
      <c r="G617" s="15" t="str">
        <f t="shared" si="56"/>
        <v/>
      </c>
      <c r="H617" s="12" t="str">
        <f t="shared" ca="1" si="57"/>
        <v/>
      </c>
      <c r="I617" s="14"/>
      <c r="J617" s="1" t="str">
        <f>IF(COUNTA(A617:F2904)=0,"",IF(#REF!="","BRAK PROTOKOŁU","DODANY"))</f>
        <v/>
      </c>
      <c r="K617" s="1"/>
      <c r="M617" s="13" t="str" cm="1">
        <f t="array" ref="M617">IF($A617="","",IFERROR(TRANSPOSE(_xlfn._xlws.FILTER(Lokale!$C$3:$C$91,Lokale!$B$3:$B$91=$A617)),""))</f>
        <v/>
      </c>
      <c r="AJ617" s="13" t="str" cm="1">
        <f t="array" ref="AJ617">IF($C617="","",IFERROR(TRANSPOSE(_xlfn._xlws.FILTER(Listy!$D$2:$D$60,Listy!$C$2:$C$60=$C617)),""))</f>
        <v/>
      </c>
    </row>
    <row r="618" spans="7:36" ht="25" customHeight="1" x14ac:dyDescent="0.35">
      <c r="G618" s="15" t="str">
        <f t="shared" si="56"/>
        <v/>
      </c>
      <c r="H618" s="12" t="str">
        <f t="shared" ca="1" si="57"/>
        <v/>
      </c>
      <c r="I618" s="14"/>
      <c r="J618" s="1" t="str">
        <f>IF(COUNTA(A618:F2905)=0,"",IF(#REF!="","BRAK PROTOKOŁU","DODANY"))</f>
        <v/>
      </c>
      <c r="K618" s="1"/>
      <c r="M618" s="13" t="str" cm="1">
        <f t="array" ref="M618">IF($A618="","",IFERROR(TRANSPOSE(_xlfn._xlws.FILTER(Lokale!$C$3:$C$91,Lokale!$B$3:$B$91=$A618)),""))</f>
        <v/>
      </c>
      <c r="AJ618" s="13" t="str" cm="1">
        <f t="array" ref="AJ618">IF($C618="","",IFERROR(TRANSPOSE(_xlfn._xlws.FILTER(Listy!$D$2:$D$60,Listy!$C$2:$C$60=$C618)),""))</f>
        <v/>
      </c>
    </row>
    <row r="619" spans="7:36" ht="25" customHeight="1" x14ac:dyDescent="0.35">
      <c r="G619" s="15" t="str">
        <f t="shared" si="56"/>
        <v/>
      </c>
      <c r="H619" s="12" t="str">
        <f t="shared" ca="1" si="57"/>
        <v/>
      </c>
      <c r="I619" s="14"/>
      <c r="J619" s="1" t="str">
        <f>IF(COUNTA(A619:F2906)=0,"",IF(#REF!="","BRAK PROTOKOŁU","DODANY"))</f>
        <v/>
      </c>
      <c r="K619" s="1"/>
      <c r="M619" s="13" t="str" cm="1">
        <f t="array" ref="M619">IF($A619="","",IFERROR(TRANSPOSE(_xlfn._xlws.FILTER(Lokale!$C$3:$C$91,Lokale!$B$3:$B$91=$A619)),""))</f>
        <v/>
      </c>
      <c r="AJ619" s="13" t="str" cm="1">
        <f t="array" ref="AJ619">IF($C619="","",IFERROR(TRANSPOSE(_xlfn._xlws.FILTER(Listy!$D$2:$D$60,Listy!$C$2:$C$60=$C619)),""))</f>
        <v/>
      </c>
    </row>
    <row r="620" spans="7:36" ht="25" customHeight="1" x14ac:dyDescent="0.35">
      <c r="G620" s="15" t="str">
        <f t="shared" si="56"/>
        <v/>
      </c>
      <c r="H620" s="12" t="str">
        <f t="shared" ca="1" si="57"/>
        <v/>
      </c>
      <c r="I620" s="14"/>
      <c r="J620" s="1" t="str">
        <f>IF(COUNTA(A620:F2907)=0,"",IF(#REF!="","BRAK PROTOKOŁU","DODANY"))</f>
        <v/>
      </c>
      <c r="K620" s="1"/>
      <c r="M620" s="13" t="str" cm="1">
        <f t="array" ref="M620">IF($A620="","",IFERROR(TRANSPOSE(_xlfn._xlws.FILTER(Lokale!$C$3:$C$91,Lokale!$B$3:$B$91=$A620)),""))</f>
        <v/>
      </c>
      <c r="AJ620" s="13" t="str" cm="1">
        <f t="array" ref="AJ620">IF($C620="","",IFERROR(TRANSPOSE(_xlfn._xlws.FILTER(Listy!$D$2:$D$60,Listy!$C$2:$C$60=$C620)),""))</f>
        <v/>
      </c>
    </row>
    <row r="621" spans="7:36" ht="25" customHeight="1" x14ac:dyDescent="0.35">
      <c r="G621" s="15" t="str">
        <f t="shared" si="56"/>
        <v/>
      </c>
      <c r="H621" s="12" t="str">
        <f t="shared" ca="1" si="57"/>
        <v/>
      </c>
      <c r="I621" s="14"/>
      <c r="J621" s="1" t="str">
        <f>IF(COUNTA(A621:F2908)=0,"",IF(#REF!="","BRAK PROTOKOŁU","DODANY"))</f>
        <v/>
      </c>
      <c r="K621" s="1"/>
      <c r="M621" s="13" t="str" cm="1">
        <f t="array" ref="M621">IF($A621="","",IFERROR(TRANSPOSE(_xlfn._xlws.FILTER(Lokale!$C$3:$C$91,Lokale!$B$3:$B$91=$A621)),""))</f>
        <v/>
      </c>
      <c r="AJ621" s="13" t="str" cm="1">
        <f t="array" ref="AJ621">IF($C621="","",IFERROR(TRANSPOSE(_xlfn._xlws.FILTER(Listy!$D$2:$D$60,Listy!$C$2:$C$60=$C621)),""))</f>
        <v/>
      </c>
    </row>
    <row r="622" spans="7:36" ht="25" customHeight="1" x14ac:dyDescent="0.35">
      <c r="G622" s="15" t="str">
        <f t="shared" si="56"/>
        <v/>
      </c>
      <c r="H622" s="12" t="str">
        <f t="shared" ca="1" si="57"/>
        <v/>
      </c>
      <c r="I622" s="14"/>
      <c r="J622" s="1" t="str">
        <f>IF(COUNTA(A622:F2909)=0,"",IF(#REF!="","BRAK PROTOKOŁU","DODANY"))</f>
        <v/>
      </c>
      <c r="K622" s="1"/>
      <c r="M622" s="13" t="str" cm="1">
        <f t="array" ref="M622">IF($A622="","",IFERROR(TRANSPOSE(_xlfn._xlws.FILTER(Lokale!$C$3:$C$91,Lokale!$B$3:$B$91=$A622)),""))</f>
        <v/>
      </c>
      <c r="AJ622" s="13" t="str" cm="1">
        <f t="array" ref="AJ622">IF($C622="","",IFERROR(TRANSPOSE(_xlfn._xlws.FILTER(Listy!$D$2:$D$60,Listy!$C$2:$C$60=$C622)),""))</f>
        <v/>
      </c>
    </row>
    <row r="623" spans="7:36" ht="25" customHeight="1" x14ac:dyDescent="0.35">
      <c r="G623" s="15" t="str">
        <f t="shared" si="56"/>
        <v/>
      </c>
      <c r="H623" s="12" t="str">
        <f t="shared" ca="1" si="57"/>
        <v/>
      </c>
      <c r="I623" s="14"/>
      <c r="J623" s="1" t="str">
        <f>IF(COUNTA(A623:F2910)=0,"",IF(#REF!="","BRAK PROTOKOŁU","DODANY"))</f>
        <v/>
      </c>
      <c r="K623" s="1"/>
      <c r="M623" s="13" t="str" cm="1">
        <f t="array" ref="M623">IF($A623="","",IFERROR(TRANSPOSE(_xlfn._xlws.FILTER(Lokale!$C$3:$C$91,Lokale!$B$3:$B$91=$A623)),""))</f>
        <v/>
      </c>
      <c r="AJ623" s="13" t="str" cm="1">
        <f t="array" ref="AJ623">IF($C623="","",IFERROR(TRANSPOSE(_xlfn._xlws.FILTER(Listy!$D$2:$D$60,Listy!$C$2:$C$60=$C623)),""))</f>
        <v/>
      </c>
    </row>
    <row r="624" spans="7:36" ht="25" customHeight="1" x14ac:dyDescent="0.35">
      <c r="G624" s="15" t="str">
        <f t="shared" si="56"/>
        <v/>
      </c>
      <c r="H624" s="12" t="str">
        <f t="shared" ca="1" si="57"/>
        <v/>
      </c>
      <c r="I624" s="14"/>
      <c r="J624" s="1" t="str">
        <f>IF(COUNTA(A624:F2911)=0,"",IF(#REF!="","BRAK PROTOKOŁU","DODANY"))</f>
        <v/>
      </c>
      <c r="K624" s="1"/>
      <c r="M624" s="13" t="str" cm="1">
        <f t="array" ref="M624">IF($A624="","",IFERROR(TRANSPOSE(_xlfn._xlws.FILTER(Lokale!$C$3:$C$91,Lokale!$B$3:$B$91=$A624)),""))</f>
        <v/>
      </c>
      <c r="AJ624" s="13" t="str" cm="1">
        <f t="array" ref="AJ624">IF($C624="","",IFERROR(TRANSPOSE(_xlfn._xlws.FILTER(Listy!$D$2:$D$60,Listy!$C$2:$C$60=$C624)),""))</f>
        <v/>
      </c>
    </row>
    <row r="625" spans="7:36" ht="25" customHeight="1" x14ac:dyDescent="0.35">
      <c r="G625" s="15" t="str">
        <f t="shared" si="56"/>
        <v/>
      </c>
      <c r="H625" s="12" t="str">
        <f t="shared" ca="1" si="57"/>
        <v/>
      </c>
      <c r="I625" s="14"/>
      <c r="J625" s="1" t="str">
        <f>IF(COUNTA(A625:F2912)=0,"",IF(#REF!="","BRAK PROTOKOŁU","DODANY"))</f>
        <v/>
      </c>
      <c r="K625" s="1"/>
      <c r="M625" s="13" t="str" cm="1">
        <f t="array" ref="M625">IF($A625="","",IFERROR(TRANSPOSE(_xlfn._xlws.FILTER(Lokale!$C$3:$C$91,Lokale!$B$3:$B$91=$A625)),""))</f>
        <v/>
      </c>
      <c r="AJ625" s="13" t="str" cm="1">
        <f t="array" ref="AJ625">IF($C625="","",IFERROR(TRANSPOSE(_xlfn._xlws.FILTER(Listy!$D$2:$D$60,Listy!$C$2:$C$60=$C625)),""))</f>
        <v/>
      </c>
    </row>
    <row r="626" spans="7:36" ht="25" customHeight="1" x14ac:dyDescent="0.35">
      <c r="G626" s="15" t="str">
        <f t="shared" si="56"/>
        <v/>
      </c>
      <c r="H626" s="12" t="str">
        <f t="shared" ca="1" si="57"/>
        <v/>
      </c>
      <c r="I626" s="14"/>
      <c r="J626" s="1" t="str">
        <f>IF(COUNTA(A626:F2913)=0,"",IF(#REF!="","BRAK PROTOKOŁU","DODANY"))</f>
        <v/>
      </c>
      <c r="K626" s="1"/>
      <c r="M626" s="13" t="str" cm="1">
        <f t="array" ref="M626">IF($A626="","",IFERROR(TRANSPOSE(_xlfn._xlws.FILTER(Lokale!$C$3:$C$91,Lokale!$B$3:$B$91=$A626)),""))</f>
        <v/>
      </c>
      <c r="AJ626" s="13" t="str" cm="1">
        <f t="array" ref="AJ626">IF($C626="","",IFERROR(TRANSPOSE(_xlfn._xlws.FILTER(Listy!$D$2:$D$60,Listy!$C$2:$C$60=$C626)),""))</f>
        <v/>
      </c>
    </row>
    <row r="627" spans="7:36" ht="25" customHeight="1" x14ac:dyDescent="0.35">
      <c r="G627" s="15" t="str">
        <f t="shared" si="56"/>
        <v/>
      </c>
      <c r="H627" s="12" t="str">
        <f t="shared" ca="1" si="57"/>
        <v/>
      </c>
      <c r="I627" s="14"/>
      <c r="J627" s="1" t="str">
        <f>IF(COUNTA(A627:F2914)=0,"",IF(#REF!="","BRAK PROTOKOŁU","DODANY"))</f>
        <v/>
      </c>
      <c r="K627" s="1"/>
      <c r="M627" s="13" t="str" cm="1">
        <f t="array" ref="M627">IF($A627="","",IFERROR(TRANSPOSE(_xlfn._xlws.FILTER(Lokale!$C$3:$C$91,Lokale!$B$3:$B$91=$A627)),""))</f>
        <v/>
      </c>
      <c r="AJ627" s="13" t="str" cm="1">
        <f t="array" ref="AJ627">IF($C627="","",IFERROR(TRANSPOSE(_xlfn._xlws.FILTER(Listy!$D$2:$D$60,Listy!$C$2:$C$60=$C627)),""))</f>
        <v/>
      </c>
    </row>
    <row r="628" spans="7:36" ht="25" customHeight="1" x14ac:dyDescent="0.35">
      <c r="G628" s="15" t="str">
        <f t="shared" si="56"/>
        <v/>
      </c>
      <c r="H628" s="12" t="str">
        <f t="shared" ca="1" si="57"/>
        <v/>
      </c>
      <c r="I628" s="14"/>
      <c r="J628" s="1" t="str">
        <f>IF(COUNTA(A628:F2915)=0,"",IF(#REF!="","BRAK PROTOKOŁU","DODANY"))</f>
        <v/>
      </c>
      <c r="K628" s="1"/>
      <c r="M628" s="13" t="str" cm="1">
        <f t="array" ref="M628">IF($A628="","",IFERROR(TRANSPOSE(_xlfn._xlws.FILTER(Lokale!$C$3:$C$91,Lokale!$B$3:$B$91=$A628)),""))</f>
        <v/>
      </c>
      <c r="AJ628" s="13" t="str" cm="1">
        <f t="array" ref="AJ628">IF($C628="","",IFERROR(TRANSPOSE(_xlfn._xlws.FILTER(Listy!$D$2:$D$60,Listy!$C$2:$C$60=$C628)),""))</f>
        <v/>
      </c>
    </row>
    <row r="629" spans="7:36" ht="25" customHeight="1" x14ac:dyDescent="0.35">
      <c r="G629" s="15" t="str">
        <f t="shared" si="56"/>
        <v/>
      </c>
      <c r="H629" s="12" t="str">
        <f t="shared" ca="1" si="57"/>
        <v/>
      </c>
      <c r="I629" s="14"/>
      <c r="J629" s="1" t="str">
        <f>IF(COUNTA(A629:F2916)=0,"",IF(#REF!="","BRAK PROTOKOŁU","DODANY"))</f>
        <v/>
      </c>
      <c r="K629" s="1"/>
      <c r="M629" s="13" t="str" cm="1">
        <f t="array" ref="M629">IF($A629="","",IFERROR(TRANSPOSE(_xlfn._xlws.FILTER(Lokale!$C$3:$C$91,Lokale!$B$3:$B$91=$A629)),""))</f>
        <v/>
      </c>
      <c r="AJ629" s="13" t="str" cm="1">
        <f t="array" ref="AJ629">IF($C629="","",IFERROR(TRANSPOSE(_xlfn._xlws.FILTER(Listy!$D$2:$D$60,Listy!$C$2:$C$60=$C629)),""))</f>
        <v/>
      </c>
    </row>
    <row r="630" spans="7:36" ht="25" customHeight="1" x14ac:dyDescent="0.35">
      <c r="G630" s="15" t="str">
        <f t="shared" si="56"/>
        <v/>
      </c>
      <c r="H630" s="12" t="str">
        <f t="shared" ca="1" si="57"/>
        <v/>
      </c>
      <c r="I630" s="14"/>
      <c r="J630" s="1" t="str">
        <f>IF(COUNTA(A630:F2917)=0,"",IF(#REF!="","BRAK PROTOKOŁU","DODANY"))</f>
        <v/>
      </c>
      <c r="K630" s="1"/>
      <c r="M630" s="13" t="str" cm="1">
        <f t="array" ref="M630">IF($A630="","",IFERROR(TRANSPOSE(_xlfn._xlws.FILTER(Lokale!$C$3:$C$91,Lokale!$B$3:$B$91=$A630)),""))</f>
        <v/>
      </c>
      <c r="AJ630" s="13" t="str" cm="1">
        <f t="array" ref="AJ630">IF($C630="","",IFERROR(TRANSPOSE(_xlfn._xlws.FILTER(Listy!$D$2:$D$60,Listy!$C$2:$C$60=$C630)),""))</f>
        <v/>
      </c>
    </row>
    <row r="631" spans="7:36" ht="25" customHeight="1" x14ac:dyDescent="0.35">
      <c r="G631" s="15" t="str">
        <f t="shared" si="56"/>
        <v/>
      </c>
      <c r="H631" s="12" t="str">
        <f t="shared" ca="1" si="57"/>
        <v/>
      </c>
      <c r="I631" s="14"/>
      <c r="J631" s="1" t="str">
        <f>IF(COUNTA(A631:F2918)=0,"",IF(#REF!="","BRAK PROTOKOŁU","DODANY"))</f>
        <v/>
      </c>
      <c r="K631" s="1"/>
      <c r="M631" s="13" t="str" cm="1">
        <f t="array" ref="M631">IF($A631="","",IFERROR(TRANSPOSE(_xlfn._xlws.FILTER(Lokale!$C$3:$C$91,Lokale!$B$3:$B$91=$A631)),""))</f>
        <v/>
      </c>
      <c r="AJ631" s="13" t="str" cm="1">
        <f t="array" ref="AJ631">IF($C631="","",IFERROR(TRANSPOSE(_xlfn._xlws.FILTER(Listy!$D$2:$D$60,Listy!$C$2:$C$60=$C631)),""))</f>
        <v/>
      </c>
    </row>
    <row r="632" spans="7:36" ht="25" customHeight="1" x14ac:dyDescent="0.35">
      <c r="G632" s="15" t="str">
        <f t="shared" si="56"/>
        <v/>
      </c>
      <c r="H632" s="12" t="str">
        <f t="shared" ca="1" si="57"/>
        <v/>
      </c>
      <c r="I632" s="14"/>
      <c r="J632" s="1" t="str">
        <f>IF(COUNTA(A632:F2919)=0,"",IF(#REF!="","BRAK PROTOKOŁU","DODANY"))</f>
        <v/>
      </c>
      <c r="K632" s="1"/>
      <c r="M632" s="13" t="str" cm="1">
        <f t="array" ref="M632">IF($A632="","",IFERROR(TRANSPOSE(_xlfn._xlws.FILTER(Lokale!$C$3:$C$91,Lokale!$B$3:$B$91=$A632)),""))</f>
        <v/>
      </c>
      <c r="AJ632" s="13" t="str" cm="1">
        <f t="array" ref="AJ632">IF($C632="","",IFERROR(TRANSPOSE(_xlfn._xlws.FILTER(Listy!$D$2:$D$60,Listy!$C$2:$C$60=$C632)),""))</f>
        <v/>
      </c>
    </row>
    <row r="633" spans="7:36" ht="25" customHeight="1" x14ac:dyDescent="0.35">
      <c r="G633" s="15" t="str">
        <f t="shared" si="56"/>
        <v/>
      </c>
      <c r="H633" s="12" t="str">
        <f t="shared" ca="1" si="57"/>
        <v/>
      </c>
      <c r="I633" s="14"/>
      <c r="J633" s="1" t="str">
        <f>IF(COUNTA(A633:F2920)=0,"",IF(#REF!="","BRAK PROTOKOŁU","DODANY"))</f>
        <v/>
      </c>
      <c r="K633" s="1"/>
      <c r="M633" s="13" t="str" cm="1">
        <f t="array" ref="M633">IF($A633="","",IFERROR(TRANSPOSE(_xlfn._xlws.FILTER(Lokale!$C$3:$C$91,Lokale!$B$3:$B$91=$A633)),""))</f>
        <v/>
      </c>
      <c r="AJ633" s="13" t="str" cm="1">
        <f t="array" ref="AJ633">IF($C633="","",IFERROR(TRANSPOSE(_xlfn._xlws.FILTER(Listy!$D$2:$D$60,Listy!$C$2:$C$60=$C633)),""))</f>
        <v/>
      </c>
    </row>
    <row r="634" spans="7:36" ht="25" customHeight="1" x14ac:dyDescent="0.35">
      <c r="G634" s="15" t="str">
        <f t="shared" si="56"/>
        <v/>
      </c>
      <c r="H634" s="12" t="str">
        <f t="shared" ca="1" si="57"/>
        <v/>
      </c>
      <c r="I634" s="14"/>
      <c r="J634" s="1" t="str">
        <f>IF(COUNTA(A634:F2921)=0,"",IF(#REF!="","BRAK PROTOKOŁU","DODANY"))</f>
        <v/>
      </c>
      <c r="K634" s="1"/>
      <c r="M634" s="13" t="str" cm="1">
        <f t="array" ref="M634">IF($A634="","",IFERROR(TRANSPOSE(_xlfn._xlws.FILTER(Lokale!$C$3:$C$91,Lokale!$B$3:$B$91=$A634)),""))</f>
        <v/>
      </c>
      <c r="AJ634" s="13" t="str" cm="1">
        <f t="array" ref="AJ634">IF($C634="","",IFERROR(TRANSPOSE(_xlfn._xlws.FILTER(Listy!$D$2:$D$60,Listy!$C$2:$C$60=$C634)),""))</f>
        <v/>
      </c>
    </row>
    <row r="635" spans="7:36" ht="25" customHeight="1" x14ac:dyDescent="0.35">
      <c r="G635" s="15" t="str">
        <f t="shared" si="56"/>
        <v/>
      </c>
      <c r="H635" s="12" t="str">
        <f t="shared" ca="1" si="57"/>
        <v/>
      </c>
      <c r="I635" s="14"/>
      <c r="J635" s="1" t="str">
        <f>IF(COUNTA(A635:F2922)=0,"",IF(#REF!="","BRAK PROTOKOŁU","DODANY"))</f>
        <v/>
      </c>
      <c r="K635" s="1"/>
      <c r="M635" s="13" t="str" cm="1">
        <f t="array" ref="M635">IF($A635="","",IFERROR(TRANSPOSE(_xlfn._xlws.FILTER(Lokale!$C$3:$C$91,Lokale!$B$3:$B$91=$A635)),""))</f>
        <v/>
      </c>
      <c r="AJ635" s="13" t="str" cm="1">
        <f t="array" ref="AJ635">IF($C635="","",IFERROR(TRANSPOSE(_xlfn._xlws.FILTER(Listy!$D$2:$D$60,Listy!$C$2:$C$60=$C635)),""))</f>
        <v/>
      </c>
    </row>
    <row r="636" spans="7:36" ht="25" customHeight="1" x14ac:dyDescent="0.35">
      <c r="G636" s="15" t="str">
        <f t="shared" si="56"/>
        <v/>
      </c>
      <c r="H636" s="12" t="str">
        <f t="shared" ca="1" si="57"/>
        <v/>
      </c>
      <c r="I636" s="14"/>
      <c r="J636" s="1" t="str">
        <f>IF(COUNTA(A636:F2923)=0,"",IF(#REF!="","BRAK PROTOKOŁU","DODANY"))</f>
        <v/>
      </c>
      <c r="K636" s="1"/>
      <c r="M636" s="13" t="str" cm="1">
        <f t="array" ref="M636">IF($A636="","",IFERROR(TRANSPOSE(_xlfn._xlws.FILTER(Lokale!$C$3:$C$91,Lokale!$B$3:$B$91=$A636)),""))</f>
        <v/>
      </c>
      <c r="AJ636" s="13" t="str" cm="1">
        <f t="array" ref="AJ636">IF($C636="","",IFERROR(TRANSPOSE(_xlfn._xlws.FILTER(Listy!$D$2:$D$60,Listy!$C$2:$C$60=$C636)),""))</f>
        <v/>
      </c>
    </row>
    <row r="637" spans="7:36" ht="25" customHeight="1" x14ac:dyDescent="0.35">
      <c r="G637" s="15" t="str">
        <f t="shared" si="56"/>
        <v/>
      </c>
      <c r="H637" s="12" t="str">
        <f t="shared" ca="1" si="57"/>
        <v/>
      </c>
      <c r="I637" s="14"/>
      <c r="J637" s="1" t="str">
        <f>IF(COUNTA(A637:F2924)=0,"",IF(#REF!="","BRAK PROTOKOŁU","DODANY"))</f>
        <v/>
      </c>
      <c r="K637" s="1"/>
      <c r="M637" s="13" t="str" cm="1">
        <f t="array" ref="M637">IF($A637="","",IFERROR(TRANSPOSE(_xlfn._xlws.FILTER(Lokale!$C$3:$C$91,Lokale!$B$3:$B$91=$A637)),""))</f>
        <v/>
      </c>
      <c r="AJ637" s="13" t="str" cm="1">
        <f t="array" ref="AJ637">IF($C637="","",IFERROR(TRANSPOSE(_xlfn._xlws.FILTER(Listy!$D$2:$D$60,Listy!$C$2:$C$60=$C637)),""))</f>
        <v/>
      </c>
    </row>
    <row r="638" spans="7:36" ht="25" customHeight="1" x14ac:dyDescent="0.35">
      <c r="G638" s="15" t="str">
        <f t="shared" si="56"/>
        <v/>
      </c>
      <c r="H638" s="12" t="str">
        <f t="shared" ca="1" si="57"/>
        <v/>
      </c>
      <c r="I638" s="14"/>
      <c r="J638" s="1" t="str">
        <f>IF(COUNTA(A638:F2925)=0,"",IF(#REF!="","BRAK PROTOKOŁU","DODANY"))</f>
        <v/>
      </c>
      <c r="K638" s="1"/>
      <c r="M638" s="13" t="str" cm="1">
        <f t="array" ref="M638">IF($A638="","",IFERROR(TRANSPOSE(_xlfn._xlws.FILTER(Lokale!$C$3:$C$91,Lokale!$B$3:$B$91=$A638)),""))</f>
        <v/>
      </c>
      <c r="AJ638" s="13" t="str" cm="1">
        <f t="array" ref="AJ638">IF($C638="","",IFERROR(TRANSPOSE(_xlfn._xlws.FILTER(Listy!$D$2:$D$60,Listy!$C$2:$C$60=$C638)),""))</f>
        <v/>
      </c>
    </row>
    <row r="639" spans="7:36" ht="25" customHeight="1" x14ac:dyDescent="0.35">
      <c r="G639" s="15" t="str">
        <f t="shared" si="56"/>
        <v/>
      </c>
      <c r="H639" s="12" t="str">
        <f t="shared" ca="1" si="57"/>
        <v/>
      </c>
      <c r="I639" s="14"/>
      <c r="J639" s="1" t="str">
        <f>IF(COUNTA(A639:F2926)=0,"",IF(#REF!="","BRAK PROTOKOŁU","DODANY"))</f>
        <v/>
      </c>
      <c r="K639" s="1"/>
      <c r="M639" s="13" t="str" cm="1">
        <f t="array" ref="M639">IF($A639="","",IFERROR(TRANSPOSE(_xlfn._xlws.FILTER(Lokale!$C$3:$C$91,Lokale!$B$3:$B$91=$A639)),""))</f>
        <v/>
      </c>
      <c r="AJ639" s="13" t="str" cm="1">
        <f t="array" ref="AJ639">IF($C639="","",IFERROR(TRANSPOSE(_xlfn._xlws.FILTER(Listy!$D$2:$D$60,Listy!$C$2:$C$60=$C639)),""))</f>
        <v/>
      </c>
    </row>
    <row r="640" spans="7:36" ht="25" customHeight="1" x14ac:dyDescent="0.35">
      <c r="G640" s="15" t="str">
        <f t="shared" si="56"/>
        <v/>
      </c>
      <c r="H640" s="12" t="str">
        <f t="shared" ca="1" si="57"/>
        <v/>
      </c>
      <c r="I640" s="14"/>
      <c r="J640" s="1" t="str">
        <f>IF(COUNTA(A640:F2927)=0,"",IF(#REF!="","BRAK PROTOKOŁU","DODANY"))</f>
        <v/>
      </c>
      <c r="K640" s="1"/>
      <c r="M640" s="13" t="str" cm="1">
        <f t="array" ref="M640">IF($A640="","",IFERROR(TRANSPOSE(_xlfn._xlws.FILTER(Lokale!$C$3:$C$91,Lokale!$B$3:$B$91=$A640)),""))</f>
        <v/>
      </c>
      <c r="AJ640" s="13" t="str" cm="1">
        <f t="array" ref="AJ640">IF($C640="","",IFERROR(TRANSPOSE(_xlfn._xlws.FILTER(Listy!$D$2:$D$60,Listy!$C$2:$C$60=$C640)),""))</f>
        <v/>
      </c>
    </row>
    <row r="641" spans="7:36" ht="25" customHeight="1" x14ac:dyDescent="0.35">
      <c r="G641" s="15" t="str">
        <f t="shared" si="56"/>
        <v/>
      </c>
      <c r="H641" s="12" t="str">
        <f t="shared" ca="1" si="57"/>
        <v/>
      </c>
      <c r="I641" s="14"/>
      <c r="J641" s="1" t="str">
        <f>IF(COUNTA(A641:F2928)=0,"",IF(#REF!="","BRAK PROTOKOŁU","DODANY"))</f>
        <v/>
      </c>
      <c r="K641" s="1"/>
      <c r="M641" s="13" t="str" cm="1">
        <f t="array" ref="M641">IF($A641="","",IFERROR(TRANSPOSE(_xlfn._xlws.FILTER(Lokale!$C$3:$C$91,Lokale!$B$3:$B$91=$A641)),""))</f>
        <v/>
      </c>
      <c r="AJ641" s="13" t="str" cm="1">
        <f t="array" ref="AJ641">IF($C641="","",IFERROR(TRANSPOSE(_xlfn._xlws.FILTER(Listy!$D$2:$D$60,Listy!$C$2:$C$60=$C641)),""))</f>
        <v/>
      </c>
    </row>
    <row r="642" spans="7:36" ht="25" customHeight="1" x14ac:dyDescent="0.35">
      <c r="G642" s="15" t="str">
        <f t="shared" si="56"/>
        <v/>
      </c>
      <c r="H642" s="12" t="str">
        <f t="shared" ca="1" si="57"/>
        <v/>
      </c>
      <c r="I642" s="14"/>
      <c r="J642" s="1" t="str">
        <f>IF(COUNTA(A642:F2929)=0,"",IF(#REF!="","BRAK PROTOKOŁU","DODANY"))</f>
        <v/>
      </c>
      <c r="K642" s="1"/>
      <c r="M642" s="13" t="str" cm="1">
        <f t="array" ref="M642">IF($A642="","",IFERROR(TRANSPOSE(_xlfn._xlws.FILTER(Lokale!$C$3:$C$91,Lokale!$B$3:$B$91=$A642)),""))</f>
        <v/>
      </c>
      <c r="AJ642" s="13" t="str" cm="1">
        <f t="array" ref="AJ642">IF($C642="","",IFERROR(TRANSPOSE(_xlfn._xlws.FILTER(Listy!$D$2:$D$60,Listy!$C$2:$C$60=$C642)),""))</f>
        <v/>
      </c>
    </row>
    <row r="643" spans="7:36" ht="25" customHeight="1" x14ac:dyDescent="0.35">
      <c r="G643" s="15" t="str">
        <f t="shared" si="56"/>
        <v/>
      </c>
      <c r="H643" s="12" t="str">
        <f t="shared" ca="1" si="57"/>
        <v/>
      </c>
      <c r="I643" s="14"/>
      <c r="J643" s="1" t="str">
        <f>IF(COUNTA(A643:F2930)=0,"",IF(#REF!="","BRAK PROTOKOŁU","DODANY"))</f>
        <v/>
      </c>
      <c r="K643" s="1"/>
      <c r="M643" s="13" t="str" cm="1">
        <f t="array" ref="M643">IF($A643="","",IFERROR(TRANSPOSE(_xlfn._xlws.FILTER(Lokale!$C$3:$C$91,Lokale!$B$3:$B$91=$A643)),""))</f>
        <v/>
      </c>
      <c r="AJ643" s="13" t="str" cm="1">
        <f t="array" ref="AJ643">IF($C643="","",IFERROR(TRANSPOSE(_xlfn._xlws.FILTER(Listy!$D$2:$D$60,Listy!$C$2:$C$60=$C643)),""))</f>
        <v/>
      </c>
    </row>
    <row r="644" spans="7:36" ht="25" customHeight="1" x14ac:dyDescent="0.35">
      <c r="G644" s="15" t="str">
        <f t="shared" si="56"/>
        <v/>
      </c>
      <c r="H644" s="12" t="str">
        <f t="shared" ca="1" si="57"/>
        <v/>
      </c>
      <c r="I644" s="14"/>
      <c r="J644" s="1" t="str">
        <f>IF(COUNTA(A644:F2931)=0,"",IF(#REF!="","BRAK PROTOKOŁU","DODANY"))</f>
        <v/>
      </c>
      <c r="K644" s="1"/>
      <c r="M644" s="13" t="str" cm="1">
        <f t="array" ref="M644">IF($A644="","",IFERROR(TRANSPOSE(_xlfn._xlws.FILTER(Lokale!$C$3:$C$91,Lokale!$B$3:$B$91=$A644)),""))</f>
        <v/>
      </c>
      <c r="AJ644" s="13" t="str" cm="1">
        <f t="array" ref="AJ644">IF($C644="","",IFERROR(TRANSPOSE(_xlfn._xlws.FILTER(Listy!$D$2:$D$60,Listy!$C$2:$C$60=$C644)),""))</f>
        <v/>
      </c>
    </row>
    <row r="645" spans="7:36" ht="25" customHeight="1" x14ac:dyDescent="0.35">
      <c r="G645" s="15" t="str">
        <f t="shared" si="56"/>
        <v/>
      </c>
      <c r="H645" s="12" t="str">
        <f t="shared" ca="1" si="57"/>
        <v/>
      </c>
      <c r="I645" s="14"/>
      <c r="J645" s="1" t="str">
        <f>IF(COUNTA(A645:F2932)=0,"",IF(#REF!="","BRAK PROTOKOŁU","DODANY"))</f>
        <v/>
      </c>
      <c r="K645" s="1"/>
      <c r="M645" s="13" t="str" cm="1">
        <f t="array" ref="M645">IF($A645="","",IFERROR(TRANSPOSE(_xlfn._xlws.FILTER(Lokale!$C$3:$C$91,Lokale!$B$3:$B$91=$A645)),""))</f>
        <v/>
      </c>
      <c r="AJ645" s="13" t="str" cm="1">
        <f t="array" ref="AJ645">IF($C645="","",IFERROR(TRANSPOSE(_xlfn._xlws.FILTER(Listy!$D$2:$D$60,Listy!$C$2:$C$60=$C645)),""))</f>
        <v/>
      </c>
    </row>
    <row r="646" spans="7:36" ht="25" customHeight="1" x14ac:dyDescent="0.35">
      <c r="G646" s="15" t="str">
        <f t="shared" si="56"/>
        <v/>
      </c>
      <c r="H646" s="12" t="str">
        <f t="shared" ca="1" si="57"/>
        <v/>
      </c>
      <c r="I646" s="14"/>
      <c r="J646" s="1" t="str">
        <f>IF(COUNTA(A646:F2933)=0,"",IF(#REF!="","BRAK PROTOKOŁU","DODANY"))</f>
        <v/>
      </c>
      <c r="K646" s="1"/>
      <c r="M646" s="13" t="str" cm="1">
        <f t="array" ref="M646">IF($A646="","",IFERROR(TRANSPOSE(_xlfn._xlws.FILTER(Lokale!$C$3:$C$91,Lokale!$B$3:$B$91=$A646)),""))</f>
        <v/>
      </c>
      <c r="AJ646" s="13" t="str" cm="1">
        <f t="array" ref="AJ646">IF($C646="","",IFERROR(TRANSPOSE(_xlfn._xlws.FILTER(Listy!$D$2:$D$60,Listy!$C$2:$C$60=$C646)),""))</f>
        <v/>
      </c>
    </row>
    <row r="647" spans="7:36" ht="25" customHeight="1" x14ac:dyDescent="0.35">
      <c r="G647" s="15" t="str">
        <f t="shared" si="56"/>
        <v/>
      </c>
      <c r="H647" s="12" t="str">
        <f t="shared" ca="1" si="57"/>
        <v/>
      </c>
      <c r="I647" s="14"/>
      <c r="J647" s="1" t="str">
        <f>IF(COUNTA(A647:F2934)=0,"",IF(#REF!="","BRAK PROTOKOŁU","DODANY"))</f>
        <v/>
      </c>
      <c r="K647" s="1"/>
      <c r="M647" s="13" t="str" cm="1">
        <f t="array" ref="M647">IF($A647="","",IFERROR(TRANSPOSE(_xlfn._xlws.FILTER(Lokale!$C$3:$C$91,Lokale!$B$3:$B$91=$A647)),""))</f>
        <v/>
      </c>
      <c r="AJ647" s="13" t="str" cm="1">
        <f t="array" ref="AJ647">IF($C647="","",IFERROR(TRANSPOSE(_xlfn._xlws.FILTER(Listy!$D$2:$D$60,Listy!$C$2:$C$60=$C647)),""))</f>
        <v/>
      </c>
    </row>
    <row r="648" spans="7:36" ht="25" customHeight="1" x14ac:dyDescent="0.35">
      <c r="G648" s="15" t="str">
        <f t="shared" si="56"/>
        <v/>
      </c>
      <c r="H648" s="12" t="str">
        <f t="shared" ca="1" si="57"/>
        <v/>
      </c>
      <c r="I648" s="14"/>
      <c r="J648" s="1" t="str">
        <f>IF(COUNTA(A648:F2935)=0,"",IF(#REF!="","BRAK PROTOKOŁU","DODANY"))</f>
        <v/>
      </c>
      <c r="K648" s="1"/>
      <c r="M648" s="13" t="str" cm="1">
        <f t="array" ref="M648">IF($A648="","",IFERROR(TRANSPOSE(_xlfn._xlws.FILTER(Lokale!$C$3:$C$91,Lokale!$B$3:$B$91=$A648)),""))</f>
        <v/>
      </c>
      <c r="AJ648" s="13" t="str" cm="1">
        <f t="array" ref="AJ648">IF($C648="","",IFERROR(TRANSPOSE(_xlfn._xlws.FILTER(Listy!$D$2:$D$60,Listy!$C$2:$C$60=$C648)),""))</f>
        <v/>
      </c>
    </row>
    <row r="649" spans="7:36" ht="25" customHeight="1" x14ac:dyDescent="0.35">
      <c r="G649" s="15" t="str">
        <f t="shared" si="56"/>
        <v/>
      </c>
      <c r="H649" s="12" t="str">
        <f t="shared" ca="1" si="57"/>
        <v/>
      </c>
      <c r="I649" s="14"/>
      <c r="J649" s="1" t="str">
        <f>IF(COUNTA(A649:F2936)=0,"",IF(#REF!="","BRAK PROTOKOŁU","DODANY"))</f>
        <v/>
      </c>
      <c r="K649" s="1"/>
      <c r="M649" s="13" t="str" cm="1">
        <f t="array" ref="M649">IF($A649="","",IFERROR(TRANSPOSE(_xlfn._xlws.FILTER(Lokale!$C$3:$C$91,Lokale!$B$3:$B$91=$A649)),""))</f>
        <v/>
      </c>
      <c r="AJ649" s="13" t="str" cm="1">
        <f t="array" ref="AJ649">IF($C649="","",IFERROR(TRANSPOSE(_xlfn._xlws.FILTER(Listy!$D$2:$D$60,Listy!$C$2:$C$60=$C649)),""))</f>
        <v/>
      </c>
    </row>
    <row r="650" spans="7:36" ht="25" customHeight="1" x14ac:dyDescent="0.35">
      <c r="G650" s="15" t="str">
        <f t="shared" si="56"/>
        <v/>
      </c>
      <c r="H650" s="12" t="str">
        <f t="shared" ca="1" si="57"/>
        <v/>
      </c>
      <c r="I650" s="14"/>
      <c r="J650" s="1" t="str">
        <f>IF(COUNTA(A650:F2937)=0,"",IF(#REF!="","BRAK PROTOKOŁU","DODANY"))</f>
        <v/>
      </c>
      <c r="K650" s="1"/>
      <c r="M650" s="13" t="str" cm="1">
        <f t="array" ref="M650">IF($A650="","",IFERROR(TRANSPOSE(_xlfn._xlws.FILTER(Lokale!$C$3:$C$91,Lokale!$B$3:$B$91=$A650)),""))</f>
        <v/>
      </c>
      <c r="AJ650" s="13" t="str" cm="1">
        <f t="array" ref="AJ650">IF($C650="","",IFERROR(TRANSPOSE(_xlfn._xlws.FILTER(Listy!$D$2:$D$60,Listy!$C$2:$C$60=$C650)),""))</f>
        <v/>
      </c>
    </row>
    <row r="651" spans="7:36" ht="25" customHeight="1" x14ac:dyDescent="0.35">
      <c r="G651" s="15" t="str">
        <f t="shared" si="56"/>
        <v/>
      </c>
      <c r="H651" s="12" t="str">
        <f t="shared" ca="1" si="57"/>
        <v/>
      </c>
      <c r="I651" s="14"/>
      <c r="J651" s="1" t="str">
        <f>IF(COUNTA(A651:F2938)=0,"",IF(#REF!="","BRAK PROTOKOŁU","DODANY"))</f>
        <v/>
      </c>
      <c r="K651" s="1"/>
      <c r="M651" s="13" t="str" cm="1">
        <f t="array" ref="M651">IF($A651="","",IFERROR(TRANSPOSE(_xlfn._xlws.FILTER(Lokale!$C$3:$C$91,Lokale!$B$3:$B$91=$A651)),""))</f>
        <v/>
      </c>
      <c r="AJ651" s="13" t="str" cm="1">
        <f t="array" ref="AJ651">IF($C651="","",IFERROR(TRANSPOSE(_xlfn._xlws.FILTER(Listy!$D$2:$D$60,Listy!$C$2:$C$60=$C651)),""))</f>
        <v/>
      </c>
    </row>
    <row r="652" spans="7:36" ht="25" customHeight="1" x14ac:dyDescent="0.35">
      <c r="G652" s="15" t="str">
        <f t="shared" si="56"/>
        <v/>
      </c>
      <c r="H652" s="12" t="str">
        <f t="shared" ca="1" si="57"/>
        <v/>
      </c>
      <c r="I652" s="14"/>
      <c r="J652" s="1" t="str">
        <f>IF(COUNTA(A652:F2939)=0,"",IF(#REF!="","BRAK PROTOKOŁU","DODANY"))</f>
        <v/>
      </c>
      <c r="K652" s="1"/>
      <c r="M652" s="13" t="str" cm="1">
        <f t="array" ref="M652">IF($A652="","",IFERROR(TRANSPOSE(_xlfn._xlws.FILTER(Lokale!$C$3:$C$91,Lokale!$B$3:$B$91=$A652)),""))</f>
        <v/>
      </c>
      <c r="AJ652" s="13" t="str" cm="1">
        <f t="array" ref="AJ652">IF($C652="","",IFERROR(TRANSPOSE(_xlfn._xlws.FILTER(Listy!$D$2:$D$60,Listy!$C$2:$C$60=$C652)),""))</f>
        <v/>
      </c>
    </row>
    <row r="653" spans="7:36" ht="25" customHeight="1" x14ac:dyDescent="0.35">
      <c r="G653" s="15" t="str">
        <f t="shared" si="56"/>
        <v/>
      </c>
      <c r="H653" s="12" t="str">
        <f t="shared" ca="1" si="57"/>
        <v/>
      </c>
      <c r="I653" s="14"/>
      <c r="J653" s="1" t="str">
        <f>IF(COUNTA(A653:F2940)=0,"",IF(#REF!="","BRAK PROTOKOŁU","DODANY"))</f>
        <v/>
      </c>
      <c r="K653" s="1"/>
      <c r="M653" s="13" t="str" cm="1">
        <f t="array" ref="M653">IF($A653="","",IFERROR(TRANSPOSE(_xlfn._xlws.FILTER(Lokale!$C$3:$C$91,Lokale!$B$3:$B$91=$A653)),""))</f>
        <v/>
      </c>
      <c r="AJ653" s="13" t="str" cm="1">
        <f t="array" ref="AJ653">IF($C653="","",IFERROR(TRANSPOSE(_xlfn._xlws.FILTER(Listy!$D$2:$D$60,Listy!$C$2:$C$60=$C653)),""))</f>
        <v/>
      </c>
    </row>
    <row r="654" spans="7:36" ht="25" customHeight="1" x14ac:dyDescent="0.35">
      <c r="G654" s="15" t="str">
        <f t="shared" si="56"/>
        <v/>
      </c>
      <c r="H654" s="12" t="str">
        <f t="shared" ca="1" si="57"/>
        <v/>
      </c>
      <c r="I654" s="14"/>
      <c r="J654" s="1" t="str">
        <f>IF(COUNTA(A654:F2941)=0,"",IF(#REF!="","BRAK PROTOKOŁU","DODANY"))</f>
        <v/>
      </c>
      <c r="K654" s="1"/>
      <c r="M654" s="13" t="str" cm="1">
        <f t="array" ref="M654">IF($A654="","",IFERROR(TRANSPOSE(_xlfn._xlws.FILTER(Lokale!$C$3:$C$91,Lokale!$B$3:$B$91=$A654)),""))</f>
        <v/>
      </c>
      <c r="AJ654" s="13" t="str" cm="1">
        <f t="array" ref="AJ654">IF($C654="","",IFERROR(TRANSPOSE(_xlfn._xlws.FILTER(Listy!$D$2:$D$60,Listy!$C$2:$C$60=$C654)),""))</f>
        <v/>
      </c>
    </row>
    <row r="655" spans="7:36" ht="25" customHeight="1" x14ac:dyDescent="0.35">
      <c r="G655" s="15" t="str">
        <f t="shared" si="56"/>
        <v/>
      </c>
      <c r="H655" s="12" t="str">
        <f t="shared" ca="1" si="57"/>
        <v/>
      </c>
      <c r="I655" s="14"/>
      <c r="J655" s="1" t="str">
        <f>IF(COUNTA(A655:F2942)=0,"",IF(#REF!="","BRAK PROTOKOŁU","DODANY"))</f>
        <v/>
      </c>
      <c r="K655" s="1"/>
      <c r="M655" s="13" t="str" cm="1">
        <f t="array" ref="M655">IF($A655="","",IFERROR(TRANSPOSE(_xlfn._xlws.FILTER(Lokale!$C$3:$C$91,Lokale!$B$3:$B$91=$A655)),""))</f>
        <v/>
      </c>
      <c r="AJ655" s="13" t="str" cm="1">
        <f t="array" ref="AJ655">IF($C655="","",IFERROR(TRANSPOSE(_xlfn._xlws.FILTER(Listy!$D$2:$D$60,Listy!$C$2:$C$60=$C655)),""))</f>
        <v/>
      </c>
    </row>
    <row r="656" spans="7:36" ht="25" customHeight="1" x14ac:dyDescent="0.35">
      <c r="G656" s="15" t="str">
        <f t="shared" si="56"/>
        <v/>
      </c>
      <c r="H656" s="12" t="str">
        <f t="shared" ca="1" si="57"/>
        <v/>
      </c>
      <c r="I656" s="14"/>
      <c r="J656" s="1" t="str">
        <f>IF(COUNTA(A656:F2943)=0,"",IF(#REF!="","BRAK PROTOKOŁU","DODANY"))</f>
        <v/>
      </c>
      <c r="K656" s="1"/>
      <c r="M656" s="13" t="str" cm="1">
        <f t="array" ref="M656">IF($A656="","",IFERROR(TRANSPOSE(_xlfn._xlws.FILTER(Lokale!$C$3:$C$91,Lokale!$B$3:$B$91=$A656)),""))</f>
        <v/>
      </c>
      <c r="AJ656" s="13" t="str" cm="1">
        <f t="array" ref="AJ656">IF($C656="","",IFERROR(TRANSPOSE(_xlfn._xlws.FILTER(Listy!$D$2:$D$60,Listy!$C$2:$C$60=$C656)),""))</f>
        <v/>
      </c>
    </row>
    <row r="657" spans="7:36" ht="25" customHeight="1" x14ac:dyDescent="0.35">
      <c r="G657" s="15" t="str">
        <f t="shared" si="56"/>
        <v/>
      </c>
      <c r="H657" s="12" t="str">
        <f t="shared" ca="1" si="57"/>
        <v/>
      </c>
      <c r="I657" s="14"/>
      <c r="J657" s="1" t="str">
        <f>IF(COUNTA(A657:F2944)=0,"",IF(#REF!="","BRAK PROTOKOŁU","DODANY"))</f>
        <v/>
      </c>
      <c r="K657" s="1"/>
      <c r="M657" s="13" t="str" cm="1">
        <f t="array" ref="M657">IF($A657="","",IFERROR(TRANSPOSE(_xlfn._xlws.FILTER(Lokale!$C$3:$C$91,Lokale!$B$3:$B$91=$A657)),""))</f>
        <v/>
      </c>
      <c r="AJ657" s="13" t="str" cm="1">
        <f t="array" ref="AJ657">IF($C657="","",IFERROR(TRANSPOSE(_xlfn._xlws.FILTER(Listy!$D$2:$D$60,Listy!$C$2:$C$60=$C657)),""))</f>
        <v/>
      </c>
    </row>
    <row r="658" spans="7:36" ht="25" customHeight="1" x14ac:dyDescent="0.35">
      <c r="G658" s="15" t="str">
        <f t="shared" si="56"/>
        <v/>
      </c>
      <c r="H658" s="12" t="str">
        <f t="shared" ca="1" si="57"/>
        <v/>
      </c>
      <c r="I658" s="14"/>
      <c r="J658" s="1" t="str">
        <f>IF(COUNTA(A658:F2945)=0,"",IF(#REF!="","BRAK PROTOKOŁU","DODANY"))</f>
        <v/>
      </c>
      <c r="K658" s="1"/>
      <c r="M658" s="13" t="str" cm="1">
        <f t="array" ref="M658">IF($A658="","",IFERROR(TRANSPOSE(_xlfn._xlws.FILTER(Lokale!$C$3:$C$91,Lokale!$B$3:$B$91=$A658)),""))</f>
        <v/>
      </c>
      <c r="AJ658" s="13" t="str" cm="1">
        <f t="array" ref="AJ658">IF($C658="","",IFERROR(TRANSPOSE(_xlfn._xlws.FILTER(Listy!$D$2:$D$60,Listy!$C$2:$C$60=$C658)),""))</f>
        <v/>
      </c>
    </row>
    <row r="659" spans="7:36" ht="25" customHeight="1" x14ac:dyDescent="0.35">
      <c r="G659" s="15" t="str">
        <f t="shared" si="56"/>
        <v/>
      </c>
      <c r="H659" s="12" t="str">
        <f t="shared" ca="1" si="57"/>
        <v/>
      </c>
      <c r="I659" s="14"/>
      <c r="J659" s="1" t="str">
        <f>IF(COUNTA(A659:F2946)=0,"",IF(#REF!="","BRAK PROTOKOŁU","DODANY"))</f>
        <v/>
      </c>
      <c r="K659" s="1"/>
      <c r="M659" s="13" t="str" cm="1">
        <f t="array" ref="M659">IF($A659="","",IFERROR(TRANSPOSE(_xlfn._xlws.FILTER(Lokale!$C$3:$C$91,Lokale!$B$3:$B$91=$A659)),""))</f>
        <v/>
      </c>
      <c r="AJ659" s="13" t="str" cm="1">
        <f t="array" ref="AJ659">IF($C659="","",IFERROR(TRANSPOSE(_xlfn._xlws.FILTER(Listy!$D$2:$D$60,Listy!$C$2:$C$60=$C659)),""))</f>
        <v/>
      </c>
    </row>
    <row r="660" spans="7:36" ht="25" customHeight="1" x14ac:dyDescent="0.35">
      <c r="G660" s="15" t="str">
        <f t="shared" si="56"/>
        <v/>
      </c>
      <c r="H660" s="12" t="str">
        <f t="shared" ca="1" si="57"/>
        <v/>
      </c>
      <c r="I660" s="14"/>
      <c r="J660" s="1" t="str">
        <f>IF(COUNTA(A660:F2947)=0,"",IF(#REF!="","BRAK PROTOKOŁU","DODANY"))</f>
        <v/>
      </c>
      <c r="K660" s="1"/>
      <c r="M660" s="13" t="str" cm="1">
        <f t="array" ref="M660">IF($A660="","",IFERROR(TRANSPOSE(_xlfn._xlws.FILTER(Lokale!$C$3:$C$91,Lokale!$B$3:$B$91=$A660)),""))</f>
        <v/>
      </c>
      <c r="AJ660" s="13" t="str" cm="1">
        <f t="array" ref="AJ660">IF($C660="","",IFERROR(TRANSPOSE(_xlfn._xlws.FILTER(Listy!$D$2:$D$60,Listy!$C$2:$C$60=$C660)),""))</f>
        <v/>
      </c>
    </row>
    <row r="661" spans="7:36" ht="25" customHeight="1" x14ac:dyDescent="0.35">
      <c r="G661" s="15" t="str">
        <f t="shared" si="56"/>
        <v/>
      </c>
      <c r="H661" s="12" t="str">
        <f t="shared" ca="1" si="57"/>
        <v/>
      </c>
      <c r="I661" s="14"/>
      <c r="J661" s="1" t="str">
        <f>IF(COUNTA(A661:F2948)=0,"",IF(#REF!="","BRAK PROTOKOŁU","DODANY"))</f>
        <v/>
      </c>
      <c r="K661" s="1"/>
      <c r="M661" s="13" t="str" cm="1">
        <f t="array" ref="M661">IF($A661="","",IFERROR(TRANSPOSE(_xlfn._xlws.FILTER(Lokale!$C$3:$C$91,Lokale!$B$3:$B$91=$A661)),""))</f>
        <v/>
      </c>
      <c r="AJ661" s="13" t="str" cm="1">
        <f t="array" ref="AJ661">IF($C661="","",IFERROR(TRANSPOSE(_xlfn._xlws.FILTER(Listy!$D$2:$D$60,Listy!$C$2:$C$60=$C661)),""))</f>
        <v/>
      </c>
    </row>
    <row r="662" spans="7:36" ht="25" customHeight="1" x14ac:dyDescent="0.35">
      <c r="G662" s="15" t="str">
        <f t="shared" si="56"/>
        <v/>
      </c>
      <c r="H662" s="12" t="str">
        <f t="shared" ca="1" si="57"/>
        <v/>
      </c>
      <c r="I662" s="14"/>
      <c r="J662" s="1" t="str">
        <f>IF(COUNTA(A662:F2949)=0,"",IF(#REF!="","BRAK PROTOKOŁU","DODANY"))</f>
        <v/>
      </c>
      <c r="K662" s="1"/>
      <c r="M662" s="13" t="str" cm="1">
        <f t="array" ref="M662">IF($A662="","",IFERROR(TRANSPOSE(_xlfn._xlws.FILTER(Lokale!$C$3:$C$91,Lokale!$B$3:$B$91=$A662)),""))</f>
        <v/>
      </c>
      <c r="AJ662" s="13" t="str" cm="1">
        <f t="array" ref="AJ662">IF($C662="","",IFERROR(TRANSPOSE(_xlfn._xlws.FILTER(Listy!$D$2:$D$60,Listy!$C$2:$C$60=$C662)),""))</f>
        <v/>
      </c>
    </row>
    <row r="663" spans="7:36" ht="25" customHeight="1" x14ac:dyDescent="0.35">
      <c r="G663" s="15" t="str">
        <f t="shared" si="56"/>
        <v/>
      </c>
      <c r="H663" s="12" t="str">
        <f t="shared" ca="1" si="57"/>
        <v/>
      </c>
      <c r="I663" s="14"/>
      <c r="J663" s="1" t="str">
        <f>IF(COUNTA(A663:F2950)=0,"",IF(#REF!="","BRAK PROTOKOŁU","DODANY"))</f>
        <v/>
      </c>
      <c r="K663" s="1"/>
      <c r="M663" s="13" t="str" cm="1">
        <f t="array" ref="M663">IF($A663="","",IFERROR(TRANSPOSE(_xlfn._xlws.FILTER(Lokale!$C$3:$C$91,Lokale!$B$3:$B$91=$A663)),""))</f>
        <v/>
      </c>
      <c r="AJ663" s="13" t="str" cm="1">
        <f t="array" ref="AJ663">IF($C663="","",IFERROR(TRANSPOSE(_xlfn._xlws.FILTER(Listy!$D$2:$D$60,Listy!$C$2:$C$60=$C663)),""))</f>
        <v/>
      </c>
    </row>
    <row r="664" spans="7:36" ht="25" customHeight="1" x14ac:dyDescent="0.35">
      <c r="G664" s="15" t="str">
        <f t="shared" si="56"/>
        <v/>
      </c>
      <c r="H664" s="12" t="str">
        <f t="shared" ca="1" si="57"/>
        <v/>
      </c>
      <c r="I664" s="14"/>
      <c r="J664" s="1" t="str">
        <f>IF(COUNTA(A664:F2951)=0,"",IF(#REF!="","BRAK PROTOKOŁU","DODANY"))</f>
        <v/>
      </c>
      <c r="K664" s="1"/>
      <c r="M664" s="13" t="str" cm="1">
        <f t="array" ref="M664">IF($A664="","",IFERROR(TRANSPOSE(_xlfn._xlws.FILTER(Lokale!$C$3:$C$91,Lokale!$B$3:$B$91=$A664)),""))</f>
        <v/>
      </c>
      <c r="AJ664" s="13" t="str" cm="1">
        <f t="array" ref="AJ664">IF($C664="","",IFERROR(TRANSPOSE(_xlfn._xlws.FILTER(Listy!$D$2:$D$60,Listy!$C$2:$C$60=$C664)),""))</f>
        <v/>
      </c>
    </row>
    <row r="665" spans="7:36" ht="25" customHeight="1" x14ac:dyDescent="0.35">
      <c r="G665" s="15" t="str">
        <f t="shared" si="56"/>
        <v/>
      </c>
      <c r="H665" s="12" t="str">
        <f t="shared" ca="1" si="57"/>
        <v/>
      </c>
      <c r="I665" s="14"/>
      <c r="J665" s="1" t="str">
        <f>IF(COUNTA(A665:F2952)=0,"",IF(#REF!="","BRAK PROTOKOŁU","DODANY"))</f>
        <v/>
      </c>
      <c r="K665" s="1"/>
      <c r="M665" s="13" t="str" cm="1">
        <f t="array" ref="M665">IF($A665="","",IFERROR(TRANSPOSE(_xlfn._xlws.FILTER(Lokale!$C$3:$C$91,Lokale!$B$3:$B$91=$A665)),""))</f>
        <v/>
      </c>
      <c r="AJ665" s="13" t="str" cm="1">
        <f t="array" ref="AJ665">IF($C665="","",IFERROR(TRANSPOSE(_xlfn._xlws.FILTER(Listy!$D$2:$D$60,Listy!$C$2:$C$60=$C665)),""))</f>
        <v/>
      </c>
    </row>
    <row r="666" spans="7:36" ht="25" customHeight="1" x14ac:dyDescent="0.35">
      <c r="G666" s="15" t="str">
        <f t="shared" si="56"/>
        <v/>
      </c>
      <c r="H666" s="12" t="str">
        <f t="shared" ca="1" si="57"/>
        <v/>
      </c>
      <c r="I666" s="14"/>
      <c r="J666" s="1" t="str">
        <f>IF(COUNTA(A666:F2953)=0,"",IF(#REF!="","BRAK PROTOKOŁU","DODANY"))</f>
        <v/>
      </c>
      <c r="K666" s="1"/>
      <c r="M666" s="13" t="str" cm="1">
        <f t="array" ref="M666">IF($A666="","",IFERROR(TRANSPOSE(_xlfn._xlws.FILTER(Lokale!$C$3:$C$91,Lokale!$B$3:$B$91=$A666)),""))</f>
        <v/>
      </c>
      <c r="AJ666" s="13" t="str" cm="1">
        <f t="array" ref="AJ666">IF($C666="","",IFERROR(TRANSPOSE(_xlfn._xlws.FILTER(Listy!$D$2:$D$60,Listy!$C$2:$C$60=$C666)),""))</f>
        <v/>
      </c>
    </row>
    <row r="667" spans="7:36" ht="25" customHeight="1" x14ac:dyDescent="0.35">
      <c r="G667" s="15" t="str">
        <f t="shared" si="56"/>
        <v/>
      </c>
      <c r="H667" s="12" t="str">
        <f t="shared" ca="1" si="57"/>
        <v/>
      </c>
      <c r="I667" s="14"/>
      <c r="J667" s="1" t="str">
        <f>IF(COUNTA(A667:F2954)=0,"",IF(#REF!="","BRAK PROTOKOŁU","DODANY"))</f>
        <v/>
      </c>
      <c r="K667" s="1"/>
      <c r="M667" s="13" t="str" cm="1">
        <f t="array" ref="M667">IF($A667="","",IFERROR(TRANSPOSE(_xlfn._xlws.FILTER(Lokale!$C$3:$C$91,Lokale!$B$3:$B$91=$A667)),""))</f>
        <v/>
      </c>
      <c r="AJ667" s="13" t="str" cm="1">
        <f t="array" ref="AJ667">IF($C667="","",IFERROR(TRANSPOSE(_xlfn._xlws.FILTER(Listy!$D$2:$D$60,Listy!$C$2:$C$60=$C667)),""))</f>
        <v/>
      </c>
    </row>
    <row r="668" spans="7:36" ht="25" customHeight="1" x14ac:dyDescent="0.35">
      <c r="G668" s="15" t="str">
        <f t="shared" si="56"/>
        <v/>
      </c>
      <c r="H668" s="12" t="str">
        <f t="shared" ca="1" si="57"/>
        <v/>
      </c>
      <c r="I668" s="14"/>
      <c r="J668" s="1" t="str">
        <f>IF(COUNTA(A668:F2955)=0,"",IF(#REF!="","BRAK PROTOKOŁU","DODANY"))</f>
        <v/>
      </c>
      <c r="K668" s="1"/>
      <c r="M668" s="13" t="str" cm="1">
        <f t="array" ref="M668">IF($A668="","",IFERROR(TRANSPOSE(_xlfn._xlws.FILTER(Lokale!$C$3:$C$91,Lokale!$B$3:$B$91=$A668)),""))</f>
        <v/>
      </c>
      <c r="AJ668" s="13" t="str" cm="1">
        <f t="array" ref="AJ668">IF($C668="","",IFERROR(TRANSPOSE(_xlfn._xlws.FILTER(Listy!$D$2:$D$60,Listy!$C$2:$C$60=$C668)),""))</f>
        <v/>
      </c>
    </row>
    <row r="669" spans="7:36" ht="25" customHeight="1" x14ac:dyDescent="0.35">
      <c r="G669" s="15" t="str">
        <f t="shared" si="56"/>
        <v/>
      </c>
      <c r="H669" s="12" t="str">
        <f t="shared" ca="1" si="57"/>
        <v/>
      </c>
      <c r="I669" s="14"/>
      <c r="J669" s="1" t="str">
        <f>IF(COUNTA(A669:F2956)=0,"",IF(#REF!="","BRAK PROTOKOŁU","DODANY"))</f>
        <v/>
      </c>
      <c r="K669" s="1"/>
      <c r="M669" s="13" t="str" cm="1">
        <f t="array" ref="M669">IF($A669="","",IFERROR(TRANSPOSE(_xlfn._xlws.FILTER(Lokale!$C$3:$C$91,Lokale!$B$3:$B$91=$A669)),""))</f>
        <v/>
      </c>
      <c r="AJ669" s="13" t="str" cm="1">
        <f t="array" ref="AJ669">IF($C669="","",IFERROR(TRANSPOSE(_xlfn._xlws.FILTER(Listy!$D$2:$D$60,Listy!$C$2:$C$60=$C669)),""))</f>
        <v/>
      </c>
    </row>
    <row r="670" spans="7:36" ht="25" customHeight="1" x14ac:dyDescent="0.35">
      <c r="G670" s="15" t="str">
        <f t="shared" si="56"/>
        <v/>
      </c>
      <c r="H670" s="12" t="str">
        <f t="shared" ca="1" si="57"/>
        <v/>
      </c>
      <c r="I670" s="14"/>
      <c r="J670" s="1" t="str">
        <f>IF(COUNTA(A670:F2957)=0,"",IF(#REF!="","BRAK PROTOKOŁU","DODANY"))</f>
        <v/>
      </c>
      <c r="K670" s="1"/>
      <c r="M670" s="13" t="str" cm="1">
        <f t="array" ref="M670">IF($A670="","",IFERROR(TRANSPOSE(_xlfn._xlws.FILTER(Lokale!$C$3:$C$91,Lokale!$B$3:$B$91=$A670)),""))</f>
        <v/>
      </c>
      <c r="AJ670" s="13" t="str" cm="1">
        <f t="array" ref="AJ670">IF($C670="","",IFERROR(TRANSPOSE(_xlfn._xlws.FILTER(Listy!$D$2:$D$60,Listy!$C$2:$C$60=$C670)),""))</f>
        <v/>
      </c>
    </row>
    <row r="671" spans="7:36" ht="25" customHeight="1" x14ac:dyDescent="0.35">
      <c r="G671" s="15" t="str">
        <f t="shared" si="56"/>
        <v/>
      </c>
      <c r="H671" s="12" t="str">
        <f t="shared" ca="1" si="57"/>
        <v/>
      </c>
      <c r="I671" s="14"/>
      <c r="J671" s="1" t="str">
        <f>IF(COUNTA(A671:F2958)=0,"",IF(#REF!="","BRAK PROTOKOŁU","DODANY"))</f>
        <v/>
      </c>
      <c r="K671" s="1"/>
      <c r="M671" s="13" t="str" cm="1">
        <f t="array" ref="M671">IF($A671="","",IFERROR(TRANSPOSE(_xlfn._xlws.FILTER(Lokale!$C$3:$C$91,Lokale!$B$3:$B$91=$A671)),""))</f>
        <v/>
      </c>
      <c r="AJ671" s="13" t="str" cm="1">
        <f t="array" ref="AJ671">IF($C671="","",IFERROR(TRANSPOSE(_xlfn._xlws.FILTER(Listy!$D$2:$D$60,Listy!$C$2:$C$60=$C671)),""))</f>
        <v/>
      </c>
    </row>
    <row r="672" spans="7:36" ht="25" customHeight="1" x14ac:dyDescent="0.35">
      <c r="G672" s="15" t="str">
        <f t="shared" si="56"/>
        <v/>
      </c>
      <c r="H672" s="12" t="str">
        <f t="shared" ca="1" si="57"/>
        <v/>
      </c>
      <c r="I672" s="14"/>
      <c r="J672" s="1" t="str">
        <f>IF(COUNTA(A672:F2959)=0,"",IF(#REF!="","BRAK PROTOKOŁU","DODANY"))</f>
        <v/>
      </c>
      <c r="K672" s="1"/>
      <c r="M672" s="13" t="str" cm="1">
        <f t="array" ref="M672">IF($A672="","",IFERROR(TRANSPOSE(_xlfn._xlws.FILTER(Lokale!$C$3:$C$91,Lokale!$B$3:$B$91=$A672)),""))</f>
        <v/>
      </c>
      <c r="AJ672" s="13" t="str" cm="1">
        <f t="array" ref="AJ672">IF($C672="","",IFERROR(TRANSPOSE(_xlfn._xlws.FILTER(Listy!$D$2:$D$60,Listy!$C$2:$C$60=$C672)),""))</f>
        <v/>
      </c>
    </row>
    <row r="673" spans="7:36" ht="25" customHeight="1" x14ac:dyDescent="0.35">
      <c r="G673" s="15" t="str">
        <f t="shared" si="56"/>
        <v/>
      </c>
      <c r="H673" s="12" t="str">
        <f t="shared" ca="1" si="57"/>
        <v/>
      </c>
      <c r="I673" s="14"/>
      <c r="J673" s="1" t="str">
        <f>IF(COUNTA(A673:F2960)=0,"",IF(#REF!="","BRAK PROTOKOŁU","DODANY"))</f>
        <v/>
      </c>
      <c r="K673" s="1"/>
      <c r="M673" s="13" t="str" cm="1">
        <f t="array" ref="M673">IF($A673="","",IFERROR(TRANSPOSE(_xlfn._xlws.FILTER(Lokale!$C$3:$C$91,Lokale!$B$3:$B$91=$A673)),""))</f>
        <v/>
      </c>
      <c r="AJ673" s="13" t="str" cm="1">
        <f t="array" ref="AJ673">IF($C673="","",IFERROR(TRANSPOSE(_xlfn._xlws.FILTER(Listy!$D$2:$D$60,Listy!$C$2:$C$60=$C673)),""))</f>
        <v/>
      </c>
    </row>
    <row r="674" spans="7:36" ht="25" customHeight="1" x14ac:dyDescent="0.35">
      <c r="G674" s="15" t="str">
        <f t="shared" ref="G674:G737" si="58">IF(OR(E674="",F674=""),"",DATE(YEAR(E674),MONTH(E674)+F674,DAY(E674)))</f>
        <v/>
      </c>
      <c r="H674" s="12" t="str">
        <f t="shared" ref="H674:H737" ca="1" si="59">IF(G674="","",IF(G674&lt;TODAY(),"PO TERMINIE",IF(G674&lt;=TODAY()+14,"DO WYKONANIA","OK")))</f>
        <v/>
      </c>
      <c r="I674" s="14"/>
      <c r="J674" s="1" t="str">
        <f>IF(COUNTA(A674:F2961)=0,"",IF(#REF!="","BRAK PROTOKOŁU","DODANY"))</f>
        <v/>
      </c>
      <c r="K674" s="1"/>
      <c r="M674" s="13" t="str" cm="1">
        <f t="array" ref="M674">IF($A674="","",IFERROR(TRANSPOSE(_xlfn._xlws.FILTER(Lokale!$C$3:$C$91,Lokale!$B$3:$B$91=$A674)),""))</f>
        <v/>
      </c>
      <c r="AJ674" s="13" t="str" cm="1">
        <f t="array" ref="AJ674">IF($C674="","",IFERROR(TRANSPOSE(_xlfn._xlws.FILTER(Listy!$D$2:$D$60,Listy!$C$2:$C$60=$C674)),""))</f>
        <v/>
      </c>
    </row>
    <row r="675" spans="7:36" ht="25" customHeight="1" x14ac:dyDescent="0.35">
      <c r="G675" s="15" t="str">
        <f t="shared" si="58"/>
        <v/>
      </c>
      <c r="H675" s="12" t="str">
        <f t="shared" ca="1" si="59"/>
        <v/>
      </c>
      <c r="I675" s="14"/>
      <c r="J675" s="1" t="str">
        <f>IF(COUNTA(A675:F2962)=0,"",IF(#REF!="","BRAK PROTOKOŁU","DODANY"))</f>
        <v/>
      </c>
      <c r="K675" s="1"/>
      <c r="M675" s="13" t="str" cm="1">
        <f t="array" ref="M675">IF($A675="","",IFERROR(TRANSPOSE(_xlfn._xlws.FILTER(Lokale!$C$3:$C$91,Lokale!$B$3:$B$91=$A675)),""))</f>
        <v/>
      </c>
      <c r="AJ675" s="13" t="str" cm="1">
        <f t="array" ref="AJ675">IF($C675="","",IFERROR(TRANSPOSE(_xlfn._xlws.FILTER(Listy!$D$2:$D$60,Listy!$C$2:$C$60=$C675)),""))</f>
        <v/>
      </c>
    </row>
    <row r="676" spans="7:36" ht="25" customHeight="1" x14ac:dyDescent="0.35">
      <c r="G676" s="15" t="str">
        <f t="shared" si="58"/>
        <v/>
      </c>
      <c r="H676" s="12" t="str">
        <f t="shared" ca="1" si="59"/>
        <v/>
      </c>
      <c r="I676" s="14"/>
      <c r="J676" s="1" t="str">
        <f>IF(COUNTA(A676:F2963)=0,"",IF(#REF!="","BRAK PROTOKOŁU","DODANY"))</f>
        <v/>
      </c>
      <c r="K676" s="1"/>
      <c r="M676" s="13" t="str" cm="1">
        <f t="array" ref="M676">IF($A676="","",IFERROR(TRANSPOSE(_xlfn._xlws.FILTER(Lokale!$C$3:$C$91,Lokale!$B$3:$B$91=$A676)),""))</f>
        <v/>
      </c>
      <c r="AJ676" s="13" t="str" cm="1">
        <f t="array" ref="AJ676">IF($C676="","",IFERROR(TRANSPOSE(_xlfn._xlws.FILTER(Listy!$D$2:$D$60,Listy!$C$2:$C$60=$C676)),""))</f>
        <v/>
      </c>
    </row>
    <row r="677" spans="7:36" ht="25" customHeight="1" x14ac:dyDescent="0.35">
      <c r="G677" s="15" t="str">
        <f t="shared" si="58"/>
        <v/>
      </c>
      <c r="H677" s="12" t="str">
        <f t="shared" ca="1" si="59"/>
        <v/>
      </c>
      <c r="I677" s="14"/>
      <c r="J677" s="1" t="str">
        <f>IF(COUNTA(A677:F2964)=0,"",IF(#REF!="","BRAK PROTOKOŁU","DODANY"))</f>
        <v/>
      </c>
      <c r="K677" s="1"/>
      <c r="M677" s="13" t="str" cm="1">
        <f t="array" ref="M677">IF($A677="","",IFERROR(TRANSPOSE(_xlfn._xlws.FILTER(Lokale!$C$3:$C$91,Lokale!$B$3:$B$91=$A677)),""))</f>
        <v/>
      </c>
      <c r="AJ677" s="13" t="str" cm="1">
        <f t="array" ref="AJ677">IF($C677="","",IFERROR(TRANSPOSE(_xlfn._xlws.FILTER(Listy!$D$2:$D$60,Listy!$C$2:$C$60=$C677)),""))</f>
        <v/>
      </c>
    </row>
    <row r="678" spans="7:36" ht="25" customHeight="1" x14ac:dyDescent="0.35">
      <c r="G678" s="15" t="str">
        <f t="shared" si="58"/>
        <v/>
      </c>
      <c r="H678" s="12" t="str">
        <f t="shared" ca="1" si="59"/>
        <v/>
      </c>
      <c r="I678" s="14"/>
      <c r="J678" s="1" t="str">
        <f>IF(COUNTA(A678:F2965)=0,"",IF(#REF!="","BRAK PROTOKOŁU","DODANY"))</f>
        <v/>
      </c>
      <c r="K678" s="1"/>
      <c r="M678" s="13" t="str" cm="1">
        <f t="array" ref="M678">IF($A678="","",IFERROR(TRANSPOSE(_xlfn._xlws.FILTER(Lokale!$C$3:$C$91,Lokale!$B$3:$B$91=$A678)),""))</f>
        <v/>
      </c>
      <c r="AJ678" s="13" t="str" cm="1">
        <f t="array" ref="AJ678">IF($C678="","",IFERROR(TRANSPOSE(_xlfn._xlws.FILTER(Listy!$D$2:$D$60,Listy!$C$2:$C$60=$C678)),""))</f>
        <v/>
      </c>
    </row>
    <row r="679" spans="7:36" ht="25" customHeight="1" x14ac:dyDescent="0.35">
      <c r="G679" s="15" t="str">
        <f t="shared" si="58"/>
        <v/>
      </c>
      <c r="H679" s="12" t="str">
        <f t="shared" ca="1" si="59"/>
        <v/>
      </c>
      <c r="I679" s="14"/>
      <c r="J679" s="1" t="str">
        <f>IF(COUNTA(A679:F2966)=0,"",IF(#REF!="","BRAK PROTOKOŁU","DODANY"))</f>
        <v/>
      </c>
      <c r="K679" s="1"/>
      <c r="M679" s="13" t="str" cm="1">
        <f t="array" ref="M679">IF($A679="","",IFERROR(TRANSPOSE(_xlfn._xlws.FILTER(Lokale!$C$3:$C$91,Lokale!$B$3:$B$91=$A679)),""))</f>
        <v/>
      </c>
      <c r="AJ679" s="13" t="str" cm="1">
        <f t="array" ref="AJ679">IF($C679="","",IFERROR(TRANSPOSE(_xlfn._xlws.FILTER(Listy!$D$2:$D$60,Listy!$C$2:$C$60=$C679)),""))</f>
        <v/>
      </c>
    </row>
    <row r="680" spans="7:36" ht="25" customHeight="1" x14ac:dyDescent="0.35">
      <c r="G680" s="15" t="str">
        <f t="shared" si="58"/>
        <v/>
      </c>
      <c r="H680" s="12" t="str">
        <f t="shared" ca="1" si="59"/>
        <v/>
      </c>
      <c r="I680" s="14"/>
      <c r="J680" s="1" t="str">
        <f>IF(COUNTA(A680:F2967)=0,"",IF(#REF!="","BRAK PROTOKOŁU","DODANY"))</f>
        <v/>
      </c>
      <c r="K680" s="1"/>
      <c r="M680" s="13" t="str" cm="1">
        <f t="array" ref="M680">IF($A680="","",IFERROR(TRANSPOSE(_xlfn._xlws.FILTER(Lokale!$C$3:$C$91,Lokale!$B$3:$B$91=$A680)),""))</f>
        <v/>
      </c>
      <c r="AJ680" s="13" t="str" cm="1">
        <f t="array" ref="AJ680">IF($C680="","",IFERROR(TRANSPOSE(_xlfn._xlws.FILTER(Listy!$D$2:$D$60,Listy!$C$2:$C$60=$C680)),""))</f>
        <v/>
      </c>
    </row>
    <row r="681" spans="7:36" ht="25" customHeight="1" x14ac:dyDescent="0.35">
      <c r="G681" s="15" t="str">
        <f t="shared" si="58"/>
        <v/>
      </c>
      <c r="H681" s="12" t="str">
        <f t="shared" ca="1" si="59"/>
        <v/>
      </c>
      <c r="I681" s="14"/>
      <c r="J681" s="1" t="str">
        <f>IF(COUNTA(A681:F2968)=0,"",IF(#REF!="","BRAK PROTOKOŁU","DODANY"))</f>
        <v/>
      </c>
      <c r="K681" s="1"/>
      <c r="M681" s="13" t="str" cm="1">
        <f t="array" ref="M681">IF($A681="","",IFERROR(TRANSPOSE(_xlfn._xlws.FILTER(Lokale!$C$3:$C$91,Lokale!$B$3:$B$91=$A681)),""))</f>
        <v/>
      </c>
      <c r="AJ681" s="13" t="str" cm="1">
        <f t="array" ref="AJ681">IF($C681="","",IFERROR(TRANSPOSE(_xlfn._xlws.FILTER(Listy!$D$2:$D$60,Listy!$C$2:$C$60=$C681)),""))</f>
        <v/>
      </c>
    </row>
    <row r="682" spans="7:36" ht="25" customHeight="1" x14ac:dyDescent="0.35">
      <c r="G682" s="15" t="str">
        <f t="shared" si="58"/>
        <v/>
      </c>
      <c r="H682" s="12" t="str">
        <f t="shared" ca="1" si="59"/>
        <v/>
      </c>
      <c r="I682" s="14"/>
      <c r="J682" s="1" t="str">
        <f>IF(COUNTA(A682:F2969)=0,"",IF(#REF!="","BRAK PROTOKOŁU","DODANY"))</f>
        <v/>
      </c>
      <c r="K682" s="1"/>
      <c r="M682" s="13" t="str" cm="1">
        <f t="array" ref="M682">IF($A682="","",IFERROR(TRANSPOSE(_xlfn._xlws.FILTER(Lokale!$C$3:$C$91,Lokale!$B$3:$B$91=$A682)),""))</f>
        <v/>
      </c>
      <c r="AJ682" s="13" t="str" cm="1">
        <f t="array" ref="AJ682">IF($C682="","",IFERROR(TRANSPOSE(_xlfn._xlws.FILTER(Listy!$D$2:$D$60,Listy!$C$2:$C$60=$C682)),""))</f>
        <v/>
      </c>
    </row>
    <row r="683" spans="7:36" ht="25" customHeight="1" x14ac:dyDescent="0.35">
      <c r="G683" s="15" t="str">
        <f t="shared" si="58"/>
        <v/>
      </c>
      <c r="H683" s="12" t="str">
        <f t="shared" ca="1" si="59"/>
        <v/>
      </c>
      <c r="I683" s="14"/>
      <c r="J683" s="1" t="str">
        <f>IF(COUNTA(A683:F2970)=0,"",IF(#REF!="","BRAK PROTOKOŁU","DODANY"))</f>
        <v/>
      </c>
      <c r="K683" s="1"/>
      <c r="M683" s="13" t="str" cm="1">
        <f t="array" ref="M683">IF($A683="","",IFERROR(TRANSPOSE(_xlfn._xlws.FILTER(Lokale!$C$3:$C$91,Lokale!$B$3:$B$91=$A683)),""))</f>
        <v/>
      </c>
      <c r="AJ683" s="13" t="str" cm="1">
        <f t="array" ref="AJ683">IF($C683="","",IFERROR(TRANSPOSE(_xlfn._xlws.FILTER(Listy!$D$2:$D$60,Listy!$C$2:$C$60=$C683)),""))</f>
        <v/>
      </c>
    </row>
    <row r="684" spans="7:36" ht="25" customHeight="1" x14ac:dyDescent="0.35">
      <c r="G684" s="15" t="str">
        <f t="shared" si="58"/>
        <v/>
      </c>
      <c r="H684" s="12" t="str">
        <f t="shared" ca="1" si="59"/>
        <v/>
      </c>
      <c r="I684" s="14"/>
      <c r="J684" s="1" t="str">
        <f>IF(COUNTA(A684:F2971)=0,"",IF(#REF!="","BRAK PROTOKOŁU","DODANY"))</f>
        <v/>
      </c>
      <c r="K684" s="1"/>
      <c r="M684" s="13" t="str" cm="1">
        <f t="array" ref="M684">IF($A684="","",IFERROR(TRANSPOSE(_xlfn._xlws.FILTER(Lokale!$C$3:$C$91,Lokale!$B$3:$B$91=$A684)),""))</f>
        <v/>
      </c>
      <c r="AJ684" s="13" t="str" cm="1">
        <f t="array" ref="AJ684">IF($C684="","",IFERROR(TRANSPOSE(_xlfn._xlws.FILTER(Listy!$D$2:$D$60,Listy!$C$2:$C$60=$C684)),""))</f>
        <v/>
      </c>
    </row>
    <row r="685" spans="7:36" ht="25" customHeight="1" x14ac:dyDescent="0.35">
      <c r="G685" s="15" t="str">
        <f t="shared" si="58"/>
        <v/>
      </c>
      <c r="H685" s="12" t="str">
        <f t="shared" ca="1" si="59"/>
        <v/>
      </c>
      <c r="I685" s="14"/>
      <c r="J685" s="1" t="str">
        <f>IF(COUNTA(A685:F2972)=0,"",IF(#REF!="","BRAK PROTOKOŁU","DODANY"))</f>
        <v/>
      </c>
      <c r="K685" s="1"/>
      <c r="M685" s="13" t="str" cm="1">
        <f t="array" ref="M685">IF($A685="","",IFERROR(TRANSPOSE(_xlfn._xlws.FILTER(Lokale!$C$3:$C$91,Lokale!$B$3:$B$91=$A685)),""))</f>
        <v/>
      </c>
      <c r="AJ685" s="13" t="str" cm="1">
        <f t="array" ref="AJ685">IF($C685="","",IFERROR(TRANSPOSE(_xlfn._xlws.FILTER(Listy!$D$2:$D$60,Listy!$C$2:$C$60=$C685)),""))</f>
        <v/>
      </c>
    </row>
    <row r="686" spans="7:36" ht="25" customHeight="1" x14ac:dyDescent="0.35">
      <c r="G686" s="15" t="str">
        <f t="shared" si="58"/>
        <v/>
      </c>
      <c r="H686" s="12" t="str">
        <f t="shared" ca="1" si="59"/>
        <v/>
      </c>
      <c r="I686" s="14"/>
      <c r="J686" s="1" t="str">
        <f>IF(COUNTA(A686:F2973)=0,"",IF(#REF!="","BRAK PROTOKOŁU","DODANY"))</f>
        <v/>
      </c>
      <c r="K686" s="1"/>
      <c r="M686" s="13" t="str" cm="1">
        <f t="array" ref="M686">IF($A686="","",IFERROR(TRANSPOSE(_xlfn._xlws.FILTER(Lokale!$C$3:$C$91,Lokale!$B$3:$B$91=$A686)),""))</f>
        <v/>
      </c>
      <c r="AJ686" s="13" t="str" cm="1">
        <f t="array" ref="AJ686">IF($C686="","",IFERROR(TRANSPOSE(_xlfn._xlws.FILTER(Listy!$D$2:$D$60,Listy!$C$2:$C$60=$C686)),""))</f>
        <v/>
      </c>
    </row>
    <row r="687" spans="7:36" ht="25" customHeight="1" x14ac:dyDescent="0.35">
      <c r="G687" s="15" t="str">
        <f t="shared" si="58"/>
        <v/>
      </c>
      <c r="H687" s="12" t="str">
        <f t="shared" ca="1" si="59"/>
        <v/>
      </c>
      <c r="I687" s="14"/>
      <c r="J687" s="1" t="str">
        <f>IF(COUNTA(A687:F2974)=0,"",IF(#REF!="","BRAK PROTOKOŁU","DODANY"))</f>
        <v/>
      </c>
      <c r="K687" s="1"/>
      <c r="M687" s="13" t="str" cm="1">
        <f t="array" ref="M687">IF($A687="","",IFERROR(TRANSPOSE(_xlfn._xlws.FILTER(Lokale!$C$3:$C$91,Lokale!$B$3:$B$91=$A687)),""))</f>
        <v/>
      </c>
      <c r="AJ687" s="13" t="str" cm="1">
        <f t="array" ref="AJ687">IF($C687="","",IFERROR(TRANSPOSE(_xlfn._xlws.FILTER(Listy!$D$2:$D$60,Listy!$C$2:$C$60=$C687)),""))</f>
        <v/>
      </c>
    </row>
    <row r="688" spans="7:36" ht="25" customHeight="1" x14ac:dyDescent="0.35">
      <c r="G688" s="15" t="str">
        <f t="shared" si="58"/>
        <v/>
      </c>
      <c r="H688" s="12" t="str">
        <f t="shared" ca="1" si="59"/>
        <v/>
      </c>
      <c r="I688" s="14"/>
      <c r="J688" s="1" t="str">
        <f>IF(COUNTA(A688:F2975)=0,"",IF(#REF!="","BRAK PROTOKOŁU","DODANY"))</f>
        <v/>
      </c>
      <c r="K688" s="1"/>
      <c r="M688" s="13" t="str" cm="1">
        <f t="array" ref="M688">IF($A688="","",IFERROR(TRANSPOSE(_xlfn._xlws.FILTER(Lokale!$C$3:$C$91,Lokale!$B$3:$B$91=$A688)),""))</f>
        <v/>
      </c>
      <c r="AJ688" s="13" t="str" cm="1">
        <f t="array" ref="AJ688">IF($C688="","",IFERROR(TRANSPOSE(_xlfn._xlws.FILTER(Listy!$D$2:$D$60,Listy!$C$2:$C$60=$C688)),""))</f>
        <v/>
      </c>
    </row>
    <row r="689" spans="7:36" ht="25" customHeight="1" x14ac:dyDescent="0.35">
      <c r="G689" s="15" t="str">
        <f t="shared" si="58"/>
        <v/>
      </c>
      <c r="H689" s="12" t="str">
        <f t="shared" ca="1" si="59"/>
        <v/>
      </c>
      <c r="I689" s="14"/>
      <c r="J689" s="1" t="str">
        <f>IF(COUNTA(A689:F2976)=0,"",IF(#REF!="","BRAK PROTOKOŁU","DODANY"))</f>
        <v/>
      </c>
      <c r="K689" s="1"/>
      <c r="M689" s="13" t="str" cm="1">
        <f t="array" ref="M689">IF($A689="","",IFERROR(TRANSPOSE(_xlfn._xlws.FILTER(Lokale!$C$3:$C$91,Lokale!$B$3:$B$91=$A689)),""))</f>
        <v/>
      </c>
      <c r="AJ689" s="13" t="str" cm="1">
        <f t="array" ref="AJ689">IF($C689="","",IFERROR(TRANSPOSE(_xlfn._xlws.FILTER(Listy!$D$2:$D$60,Listy!$C$2:$C$60=$C689)),""))</f>
        <v/>
      </c>
    </row>
    <row r="690" spans="7:36" ht="25" customHeight="1" x14ac:dyDescent="0.35">
      <c r="G690" s="15" t="str">
        <f t="shared" si="58"/>
        <v/>
      </c>
      <c r="H690" s="12" t="str">
        <f t="shared" ca="1" si="59"/>
        <v/>
      </c>
      <c r="I690" s="14"/>
      <c r="J690" s="1" t="str">
        <f>IF(COUNTA(A690:F2977)=0,"",IF(#REF!="","BRAK PROTOKOŁU","DODANY"))</f>
        <v/>
      </c>
      <c r="K690" s="1"/>
      <c r="M690" s="13" t="str" cm="1">
        <f t="array" ref="M690">IF($A690="","",IFERROR(TRANSPOSE(_xlfn._xlws.FILTER(Lokale!$C$3:$C$91,Lokale!$B$3:$B$91=$A690)),""))</f>
        <v/>
      </c>
      <c r="AJ690" s="13" t="str" cm="1">
        <f t="array" ref="AJ690">IF($C690="","",IFERROR(TRANSPOSE(_xlfn._xlws.FILTER(Listy!$D$2:$D$60,Listy!$C$2:$C$60=$C690)),""))</f>
        <v/>
      </c>
    </row>
    <row r="691" spans="7:36" ht="25" customHeight="1" x14ac:dyDescent="0.35">
      <c r="G691" s="15" t="str">
        <f t="shared" si="58"/>
        <v/>
      </c>
      <c r="H691" s="12" t="str">
        <f t="shared" ca="1" si="59"/>
        <v/>
      </c>
      <c r="I691" s="14"/>
      <c r="J691" s="1" t="str">
        <f>IF(COUNTA(A691:F2978)=0,"",IF(#REF!="","BRAK PROTOKOŁU","DODANY"))</f>
        <v/>
      </c>
      <c r="K691" s="1"/>
      <c r="M691" s="13" t="str" cm="1">
        <f t="array" ref="M691">IF($A691="","",IFERROR(TRANSPOSE(_xlfn._xlws.FILTER(Lokale!$C$3:$C$91,Lokale!$B$3:$B$91=$A691)),""))</f>
        <v/>
      </c>
      <c r="AJ691" s="13" t="str" cm="1">
        <f t="array" ref="AJ691">IF($C691="","",IFERROR(TRANSPOSE(_xlfn._xlws.FILTER(Listy!$D$2:$D$60,Listy!$C$2:$C$60=$C691)),""))</f>
        <v/>
      </c>
    </row>
    <row r="692" spans="7:36" ht="25" customHeight="1" x14ac:dyDescent="0.35">
      <c r="G692" s="15" t="str">
        <f t="shared" si="58"/>
        <v/>
      </c>
      <c r="H692" s="12" t="str">
        <f t="shared" ca="1" si="59"/>
        <v/>
      </c>
      <c r="I692" s="14"/>
      <c r="J692" s="1" t="str">
        <f>IF(COUNTA(A692:F2979)=0,"",IF(#REF!="","BRAK PROTOKOŁU","DODANY"))</f>
        <v/>
      </c>
      <c r="K692" s="1"/>
      <c r="M692" s="13" t="str" cm="1">
        <f t="array" ref="M692">IF($A692="","",IFERROR(TRANSPOSE(_xlfn._xlws.FILTER(Lokale!$C$3:$C$91,Lokale!$B$3:$B$91=$A692)),""))</f>
        <v/>
      </c>
      <c r="AJ692" s="13" t="str" cm="1">
        <f t="array" ref="AJ692">IF($C692="","",IFERROR(TRANSPOSE(_xlfn._xlws.FILTER(Listy!$D$2:$D$60,Listy!$C$2:$C$60=$C692)),""))</f>
        <v/>
      </c>
    </row>
    <row r="693" spans="7:36" ht="25" customHeight="1" x14ac:dyDescent="0.35">
      <c r="G693" s="15" t="str">
        <f t="shared" si="58"/>
        <v/>
      </c>
      <c r="H693" s="12" t="str">
        <f t="shared" ca="1" si="59"/>
        <v/>
      </c>
      <c r="I693" s="14"/>
      <c r="J693" s="1" t="str">
        <f>IF(COUNTA(A693:F2980)=0,"",IF(#REF!="","BRAK PROTOKOŁU","DODANY"))</f>
        <v/>
      </c>
      <c r="K693" s="1"/>
      <c r="M693" s="13" t="str" cm="1">
        <f t="array" ref="M693">IF($A693="","",IFERROR(TRANSPOSE(_xlfn._xlws.FILTER(Lokale!$C$3:$C$91,Lokale!$B$3:$B$91=$A693)),""))</f>
        <v/>
      </c>
      <c r="AJ693" s="13" t="str" cm="1">
        <f t="array" ref="AJ693">IF($C693="","",IFERROR(TRANSPOSE(_xlfn._xlws.FILTER(Listy!$D$2:$D$60,Listy!$C$2:$C$60=$C693)),""))</f>
        <v/>
      </c>
    </row>
    <row r="694" spans="7:36" ht="25" customHeight="1" x14ac:dyDescent="0.35">
      <c r="G694" s="15" t="str">
        <f t="shared" si="58"/>
        <v/>
      </c>
      <c r="H694" s="12" t="str">
        <f t="shared" ca="1" si="59"/>
        <v/>
      </c>
      <c r="I694" s="14"/>
      <c r="J694" s="1" t="str">
        <f>IF(COUNTA(A694:F2981)=0,"",IF(#REF!="","BRAK PROTOKOŁU","DODANY"))</f>
        <v/>
      </c>
      <c r="K694" s="1"/>
      <c r="M694" s="13" t="str" cm="1">
        <f t="array" ref="M694">IF($A694="","",IFERROR(TRANSPOSE(_xlfn._xlws.FILTER(Lokale!$C$3:$C$91,Lokale!$B$3:$B$91=$A694)),""))</f>
        <v/>
      </c>
      <c r="AJ694" s="13" t="str" cm="1">
        <f t="array" ref="AJ694">IF($C694="","",IFERROR(TRANSPOSE(_xlfn._xlws.FILTER(Listy!$D$2:$D$60,Listy!$C$2:$C$60=$C694)),""))</f>
        <v/>
      </c>
    </row>
    <row r="695" spans="7:36" ht="25" customHeight="1" x14ac:dyDescent="0.35">
      <c r="G695" s="15" t="str">
        <f t="shared" si="58"/>
        <v/>
      </c>
      <c r="H695" s="12" t="str">
        <f t="shared" ca="1" si="59"/>
        <v/>
      </c>
      <c r="I695" s="14"/>
      <c r="J695" s="1" t="str">
        <f>IF(COUNTA(A695:F2982)=0,"",IF(#REF!="","BRAK PROTOKOŁU","DODANY"))</f>
        <v/>
      </c>
      <c r="K695" s="1"/>
      <c r="M695" s="13" t="str" cm="1">
        <f t="array" ref="M695">IF($A695="","",IFERROR(TRANSPOSE(_xlfn._xlws.FILTER(Lokale!$C$3:$C$91,Lokale!$B$3:$B$91=$A695)),""))</f>
        <v/>
      </c>
      <c r="AJ695" s="13" t="str" cm="1">
        <f t="array" ref="AJ695">IF($C695="","",IFERROR(TRANSPOSE(_xlfn._xlws.FILTER(Listy!$D$2:$D$60,Listy!$C$2:$C$60=$C695)),""))</f>
        <v/>
      </c>
    </row>
    <row r="696" spans="7:36" ht="25" customHeight="1" x14ac:dyDescent="0.35">
      <c r="G696" s="15" t="str">
        <f t="shared" si="58"/>
        <v/>
      </c>
      <c r="H696" s="12" t="str">
        <f t="shared" ca="1" si="59"/>
        <v/>
      </c>
      <c r="I696" s="14"/>
      <c r="J696" s="1" t="str">
        <f>IF(COUNTA(A696:F2983)=0,"",IF(#REF!="","BRAK PROTOKOŁU","DODANY"))</f>
        <v/>
      </c>
      <c r="K696" s="1"/>
      <c r="M696" s="13" t="str" cm="1">
        <f t="array" ref="M696">IF($A696="","",IFERROR(TRANSPOSE(_xlfn._xlws.FILTER(Lokale!$C$3:$C$91,Lokale!$B$3:$B$91=$A696)),""))</f>
        <v/>
      </c>
      <c r="AJ696" s="13" t="str" cm="1">
        <f t="array" ref="AJ696">IF($C696="","",IFERROR(TRANSPOSE(_xlfn._xlws.FILTER(Listy!$D$2:$D$60,Listy!$C$2:$C$60=$C696)),""))</f>
        <v/>
      </c>
    </row>
    <row r="697" spans="7:36" ht="25" customHeight="1" x14ac:dyDescent="0.35">
      <c r="G697" s="15" t="str">
        <f t="shared" si="58"/>
        <v/>
      </c>
      <c r="H697" s="12" t="str">
        <f t="shared" ca="1" si="59"/>
        <v/>
      </c>
      <c r="I697" s="14"/>
      <c r="J697" s="1" t="str">
        <f>IF(COUNTA(A697:F2984)=0,"",IF(#REF!="","BRAK PROTOKOŁU","DODANY"))</f>
        <v/>
      </c>
      <c r="K697" s="1"/>
      <c r="M697" s="13" t="str" cm="1">
        <f t="array" ref="M697">IF($A697="","",IFERROR(TRANSPOSE(_xlfn._xlws.FILTER(Lokale!$C$3:$C$91,Lokale!$B$3:$B$91=$A697)),""))</f>
        <v/>
      </c>
      <c r="AJ697" s="13" t="str" cm="1">
        <f t="array" ref="AJ697">IF($C697="","",IFERROR(TRANSPOSE(_xlfn._xlws.FILTER(Listy!$D$2:$D$60,Listy!$C$2:$C$60=$C697)),""))</f>
        <v/>
      </c>
    </row>
    <row r="698" spans="7:36" ht="25" customHeight="1" x14ac:dyDescent="0.35">
      <c r="G698" s="15" t="str">
        <f t="shared" si="58"/>
        <v/>
      </c>
      <c r="H698" s="12" t="str">
        <f t="shared" ca="1" si="59"/>
        <v/>
      </c>
      <c r="I698" s="14"/>
      <c r="J698" s="1" t="str">
        <f>IF(COUNTA(A698:F2985)=0,"",IF(#REF!="","BRAK PROTOKOŁU","DODANY"))</f>
        <v/>
      </c>
      <c r="K698" s="1"/>
      <c r="M698" s="13" t="str" cm="1">
        <f t="array" ref="M698">IF($A698="","",IFERROR(TRANSPOSE(_xlfn._xlws.FILTER(Lokale!$C$3:$C$91,Lokale!$B$3:$B$91=$A698)),""))</f>
        <v/>
      </c>
      <c r="AJ698" s="13" t="str" cm="1">
        <f t="array" ref="AJ698">IF($C698="","",IFERROR(TRANSPOSE(_xlfn._xlws.FILTER(Listy!$D$2:$D$60,Listy!$C$2:$C$60=$C698)),""))</f>
        <v/>
      </c>
    </row>
    <row r="699" spans="7:36" ht="25" customHeight="1" x14ac:dyDescent="0.35">
      <c r="G699" s="15" t="str">
        <f t="shared" si="58"/>
        <v/>
      </c>
      <c r="H699" s="12" t="str">
        <f t="shared" ca="1" si="59"/>
        <v/>
      </c>
      <c r="I699" s="14"/>
      <c r="J699" s="1" t="str">
        <f>IF(COUNTA(A699:F2986)=0,"",IF(#REF!="","BRAK PROTOKOŁU","DODANY"))</f>
        <v/>
      </c>
      <c r="K699" s="1"/>
      <c r="M699" s="13" t="str" cm="1">
        <f t="array" ref="M699">IF($A699="","",IFERROR(TRANSPOSE(_xlfn._xlws.FILTER(Lokale!$C$3:$C$91,Lokale!$B$3:$B$91=$A699)),""))</f>
        <v/>
      </c>
      <c r="AJ699" s="13" t="str" cm="1">
        <f t="array" ref="AJ699">IF($C699="","",IFERROR(TRANSPOSE(_xlfn._xlws.FILTER(Listy!$D$2:$D$60,Listy!$C$2:$C$60=$C699)),""))</f>
        <v/>
      </c>
    </row>
    <row r="700" spans="7:36" ht="25" customHeight="1" x14ac:dyDescent="0.35">
      <c r="G700" s="15" t="str">
        <f t="shared" si="58"/>
        <v/>
      </c>
      <c r="H700" s="12" t="str">
        <f t="shared" ca="1" si="59"/>
        <v/>
      </c>
      <c r="I700" s="14"/>
      <c r="J700" s="1" t="str">
        <f>IF(COUNTA(A700:F2987)=0,"",IF(#REF!="","BRAK PROTOKOŁU","DODANY"))</f>
        <v/>
      </c>
      <c r="K700" s="1"/>
      <c r="M700" s="13" t="str" cm="1">
        <f t="array" ref="M700">IF($A700="","",IFERROR(TRANSPOSE(_xlfn._xlws.FILTER(Lokale!$C$3:$C$91,Lokale!$B$3:$B$91=$A700)),""))</f>
        <v/>
      </c>
      <c r="AJ700" s="13" t="str" cm="1">
        <f t="array" ref="AJ700">IF($C700="","",IFERROR(TRANSPOSE(_xlfn._xlws.FILTER(Listy!$D$2:$D$60,Listy!$C$2:$C$60=$C700)),""))</f>
        <v/>
      </c>
    </row>
    <row r="701" spans="7:36" ht="25" customHeight="1" x14ac:dyDescent="0.35">
      <c r="G701" s="15" t="str">
        <f t="shared" si="58"/>
        <v/>
      </c>
      <c r="H701" s="12" t="str">
        <f t="shared" ca="1" si="59"/>
        <v/>
      </c>
      <c r="I701" s="14"/>
      <c r="J701" s="1" t="str">
        <f>IF(COUNTA(A701:F2988)=0,"",IF(#REF!="","BRAK PROTOKOŁU","DODANY"))</f>
        <v/>
      </c>
      <c r="K701" s="1"/>
      <c r="M701" s="13" t="str" cm="1">
        <f t="array" ref="M701">IF($A701="","",IFERROR(TRANSPOSE(_xlfn._xlws.FILTER(Lokale!$C$3:$C$91,Lokale!$B$3:$B$91=$A701)),""))</f>
        <v/>
      </c>
      <c r="AJ701" s="13" t="str" cm="1">
        <f t="array" ref="AJ701">IF($C701="","",IFERROR(TRANSPOSE(_xlfn._xlws.FILTER(Listy!$D$2:$D$60,Listy!$C$2:$C$60=$C701)),""))</f>
        <v/>
      </c>
    </row>
    <row r="702" spans="7:36" ht="25" customHeight="1" x14ac:dyDescent="0.35">
      <c r="G702" s="15" t="str">
        <f t="shared" si="58"/>
        <v/>
      </c>
      <c r="H702" s="12" t="str">
        <f t="shared" ca="1" si="59"/>
        <v/>
      </c>
      <c r="I702" s="14"/>
      <c r="J702" s="1" t="str">
        <f>IF(COUNTA(A702:F2989)=0,"",IF(#REF!="","BRAK PROTOKOŁU","DODANY"))</f>
        <v/>
      </c>
      <c r="K702" s="1"/>
      <c r="M702" s="13" t="str" cm="1">
        <f t="array" ref="M702">IF($A702="","",IFERROR(TRANSPOSE(_xlfn._xlws.FILTER(Lokale!$C$3:$C$91,Lokale!$B$3:$B$91=$A702)),""))</f>
        <v/>
      </c>
      <c r="AJ702" s="13" t="str" cm="1">
        <f t="array" ref="AJ702">IF($C702="","",IFERROR(TRANSPOSE(_xlfn._xlws.FILTER(Listy!$D$2:$D$60,Listy!$C$2:$C$60=$C702)),""))</f>
        <v/>
      </c>
    </row>
    <row r="703" spans="7:36" ht="25" customHeight="1" x14ac:dyDescent="0.35">
      <c r="G703" s="15" t="str">
        <f t="shared" si="58"/>
        <v/>
      </c>
      <c r="H703" s="12" t="str">
        <f t="shared" ca="1" si="59"/>
        <v/>
      </c>
      <c r="I703" s="14"/>
      <c r="J703" s="1" t="str">
        <f>IF(COUNTA(A703:F2990)=0,"",IF(#REF!="","BRAK PROTOKOŁU","DODANY"))</f>
        <v/>
      </c>
      <c r="K703" s="1"/>
      <c r="M703" s="13" t="str" cm="1">
        <f t="array" ref="M703">IF($A703="","",IFERROR(TRANSPOSE(_xlfn._xlws.FILTER(Lokale!$C$3:$C$91,Lokale!$B$3:$B$91=$A703)),""))</f>
        <v/>
      </c>
      <c r="AJ703" s="13" t="str" cm="1">
        <f t="array" ref="AJ703">IF($C703="","",IFERROR(TRANSPOSE(_xlfn._xlws.FILTER(Listy!$D$2:$D$60,Listy!$C$2:$C$60=$C703)),""))</f>
        <v/>
      </c>
    </row>
    <row r="704" spans="7:36" ht="25" customHeight="1" x14ac:dyDescent="0.35">
      <c r="G704" s="15" t="str">
        <f t="shared" si="58"/>
        <v/>
      </c>
      <c r="H704" s="12" t="str">
        <f t="shared" ca="1" si="59"/>
        <v/>
      </c>
      <c r="I704" s="14"/>
      <c r="J704" s="1" t="str">
        <f>IF(COUNTA(A704:F2991)=0,"",IF(#REF!="","BRAK PROTOKOŁU","DODANY"))</f>
        <v/>
      </c>
      <c r="K704" s="1"/>
      <c r="M704" s="13" t="str" cm="1">
        <f t="array" ref="M704">IF($A704="","",IFERROR(TRANSPOSE(_xlfn._xlws.FILTER(Lokale!$C$3:$C$91,Lokale!$B$3:$B$91=$A704)),""))</f>
        <v/>
      </c>
      <c r="AJ704" s="13" t="str" cm="1">
        <f t="array" ref="AJ704">IF($C704="","",IFERROR(TRANSPOSE(_xlfn._xlws.FILTER(Listy!$D$2:$D$60,Listy!$C$2:$C$60=$C704)),""))</f>
        <v/>
      </c>
    </row>
    <row r="705" spans="7:36" ht="25" customHeight="1" x14ac:dyDescent="0.35">
      <c r="G705" s="15" t="str">
        <f t="shared" si="58"/>
        <v/>
      </c>
      <c r="H705" s="12" t="str">
        <f t="shared" ca="1" si="59"/>
        <v/>
      </c>
      <c r="I705" s="14"/>
      <c r="J705" s="1" t="str">
        <f>IF(COUNTA(A705:F2992)=0,"",IF(#REF!="","BRAK PROTOKOŁU","DODANY"))</f>
        <v/>
      </c>
      <c r="K705" s="1"/>
      <c r="M705" s="13" t="str" cm="1">
        <f t="array" ref="M705">IF($A705="","",IFERROR(TRANSPOSE(_xlfn._xlws.FILTER(Lokale!$C$3:$C$91,Lokale!$B$3:$B$91=$A705)),""))</f>
        <v/>
      </c>
      <c r="AJ705" s="13" t="str" cm="1">
        <f t="array" ref="AJ705">IF($C705="","",IFERROR(TRANSPOSE(_xlfn._xlws.FILTER(Listy!$D$2:$D$60,Listy!$C$2:$C$60=$C705)),""))</f>
        <v/>
      </c>
    </row>
    <row r="706" spans="7:36" ht="25" customHeight="1" x14ac:dyDescent="0.35">
      <c r="G706" s="15" t="str">
        <f t="shared" si="58"/>
        <v/>
      </c>
      <c r="H706" s="12" t="str">
        <f t="shared" ca="1" si="59"/>
        <v/>
      </c>
      <c r="I706" s="14"/>
      <c r="J706" s="1" t="str">
        <f>IF(COUNTA(A706:F2993)=0,"",IF(#REF!="","BRAK PROTOKOŁU","DODANY"))</f>
        <v/>
      </c>
      <c r="K706" s="1"/>
      <c r="M706" s="13" t="str" cm="1">
        <f t="array" ref="M706">IF($A706="","",IFERROR(TRANSPOSE(_xlfn._xlws.FILTER(Lokale!$C$3:$C$91,Lokale!$B$3:$B$91=$A706)),""))</f>
        <v/>
      </c>
      <c r="AJ706" s="13" t="str" cm="1">
        <f t="array" ref="AJ706">IF($C706="","",IFERROR(TRANSPOSE(_xlfn._xlws.FILTER(Listy!$D$2:$D$60,Listy!$C$2:$C$60=$C706)),""))</f>
        <v/>
      </c>
    </row>
    <row r="707" spans="7:36" ht="25" customHeight="1" x14ac:dyDescent="0.35">
      <c r="G707" s="15" t="str">
        <f t="shared" si="58"/>
        <v/>
      </c>
      <c r="H707" s="12" t="str">
        <f t="shared" ca="1" si="59"/>
        <v/>
      </c>
      <c r="I707" s="14"/>
      <c r="J707" s="1" t="str">
        <f>IF(COUNTA(A707:F2994)=0,"",IF(#REF!="","BRAK PROTOKOŁU","DODANY"))</f>
        <v/>
      </c>
      <c r="K707" s="1"/>
      <c r="M707" s="13" t="str" cm="1">
        <f t="array" ref="M707">IF($A707="","",IFERROR(TRANSPOSE(_xlfn._xlws.FILTER(Lokale!$C$3:$C$91,Lokale!$B$3:$B$91=$A707)),""))</f>
        <v/>
      </c>
      <c r="AJ707" s="13" t="str" cm="1">
        <f t="array" ref="AJ707">IF($C707="","",IFERROR(TRANSPOSE(_xlfn._xlws.FILTER(Listy!$D$2:$D$60,Listy!$C$2:$C$60=$C707)),""))</f>
        <v/>
      </c>
    </row>
    <row r="708" spans="7:36" ht="25" customHeight="1" x14ac:dyDescent="0.35">
      <c r="G708" s="15" t="str">
        <f t="shared" si="58"/>
        <v/>
      </c>
      <c r="H708" s="12" t="str">
        <f t="shared" ca="1" si="59"/>
        <v/>
      </c>
      <c r="I708" s="14"/>
      <c r="J708" s="1" t="str">
        <f>IF(COUNTA(A708:F2995)=0,"",IF(#REF!="","BRAK PROTOKOŁU","DODANY"))</f>
        <v/>
      </c>
      <c r="K708" s="1"/>
      <c r="M708" s="13" t="str" cm="1">
        <f t="array" ref="M708">IF($A708="","",IFERROR(TRANSPOSE(_xlfn._xlws.FILTER(Lokale!$C$3:$C$91,Lokale!$B$3:$B$91=$A708)),""))</f>
        <v/>
      </c>
      <c r="AJ708" s="13" t="str" cm="1">
        <f t="array" ref="AJ708">IF($C708="","",IFERROR(TRANSPOSE(_xlfn._xlws.FILTER(Listy!$D$2:$D$60,Listy!$C$2:$C$60=$C708)),""))</f>
        <v/>
      </c>
    </row>
    <row r="709" spans="7:36" ht="25" customHeight="1" x14ac:dyDescent="0.35">
      <c r="G709" s="15" t="str">
        <f t="shared" si="58"/>
        <v/>
      </c>
      <c r="H709" s="12" t="str">
        <f t="shared" ca="1" si="59"/>
        <v/>
      </c>
      <c r="I709" s="14"/>
      <c r="J709" s="1" t="str">
        <f>IF(COUNTA(A709:F2996)=0,"",IF(#REF!="","BRAK PROTOKOŁU","DODANY"))</f>
        <v/>
      </c>
      <c r="K709" s="1"/>
      <c r="M709" s="13" t="str" cm="1">
        <f t="array" ref="M709">IF($A709="","",IFERROR(TRANSPOSE(_xlfn._xlws.FILTER(Lokale!$C$3:$C$91,Lokale!$B$3:$B$91=$A709)),""))</f>
        <v/>
      </c>
      <c r="AJ709" s="13" t="str" cm="1">
        <f t="array" ref="AJ709">IF($C709="","",IFERROR(TRANSPOSE(_xlfn._xlws.FILTER(Listy!$D$2:$D$60,Listy!$C$2:$C$60=$C709)),""))</f>
        <v/>
      </c>
    </row>
    <row r="710" spans="7:36" ht="25" customHeight="1" x14ac:dyDescent="0.35">
      <c r="G710" s="15" t="str">
        <f t="shared" si="58"/>
        <v/>
      </c>
      <c r="H710" s="12" t="str">
        <f t="shared" ca="1" si="59"/>
        <v/>
      </c>
      <c r="I710" s="14"/>
      <c r="J710" s="1" t="str">
        <f>IF(COUNTA(A710:F2997)=0,"",IF(#REF!="","BRAK PROTOKOŁU","DODANY"))</f>
        <v/>
      </c>
      <c r="K710" s="1"/>
      <c r="M710" s="13" t="str" cm="1">
        <f t="array" ref="M710">IF($A710="","",IFERROR(TRANSPOSE(_xlfn._xlws.FILTER(Lokale!$C$3:$C$91,Lokale!$B$3:$B$91=$A710)),""))</f>
        <v/>
      </c>
      <c r="AJ710" s="13" t="str" cm="1">
        <f t="array" ref="AJ710">IF($C710="","",IFERROR(TRANSPOSE(_xlfn._xlws.FILTER(Listy!$D$2:$D$60,Listy!$C$2:$C$60=$C710)),""))</f>
        <v/>
      </c>
    </row>
    <row r="711" spans="7:36" ht="25" customHeight="1" x14ac:dyDescent="0.35">
      <c r="G711" s="15" t="str">
        <f t="shared" si="58"/>
        <v/>
      </c>
      <c r="H711" s="12" t="str">
        <f t="shared" ca="1" si="59"/>
        <v/>
      </c>
      <c r="I711" s="14"/>
      <c r="J711" s="1" t="str">
        <f>IF(COUNTA(A711:F2998)=0,"",IF(#REF!="","BRAK PROTOKOŁU","DODANY"))</f>
        <v/>
      </c>
      <c r="K711" s="1"/>
      <c r="M711" s="13" t="str" cm="1">
        <f t="array" ref="M711">IF($A711="","",IFERROR(TRANSPOSE(_xlfn._xlws.FILTER(Lokale!$C$3:$C$91,Lokale!$B$3:$B$91=$A711)),""))</f>
        <v/>
      </c>
      <c r="AJ711" s="13" t="str" cm="1">
        <f t="array" ref="AJ711">IF($C711="","",IFERROR(TRANSPOSE(_xlfn._xlws.FILTER(Listy!$D$2:$D$60,Listy!$C$2:$C$60=$C711)),""))</f>
        <v/>
      </c>
    </row>
    <row r="712" spans="7:36" ht="25" customHeight="1" x14ac:dyDescent="0.35">
      <c r="G712" s="15" t="str">
        <f t="shared" si="58"/>
        <v/>
      </c>
      <c r="H712" s="12" t="str">
        <f t="shared" ca="1" si="59"/>
        <v/>
      </c>
      <c r="I712" s="14"/>
      <c r="J712" s="1" t="str">
        <f>IF(COUNTA(A712:F2999)=0,"",IF(#REF!="","BRAK PROTOKOŁU","DODANY"))</f>
        <v/>
      </c>
      <c r="K712" s="1"/>
      <c r="M712" s="13" t="str" cm="1">
        <f t="array" ref="M712">IF($A712="","",IFERROR(TRANSPOSE(_xlfn._xlws.FILTER(Lokale!$C$3:$C$91,Lokale!$B$3:$B$91=$A712)),""))</f>
        <v/>
      </c>
      <c r="AJ712" s="13" t="str" cm="1">
        <f t="array" ref="AJ712">IF($C712="","",IFERROR(TRANSPOSE(_xlfn._xlws.FILTER(Listy!$D$2:$D$60,Listy!$C$2:$C$60=$C712)),""))</f>
        <v/>
      </c>
    </row>
    <row r="713" spans="7:36" ht="25" customHeight="1" x14ac:dyDescent="0.35">
      <c r="G713" s="15" t="str">
        <f t="shared" si="58"/>
        <v/>
      </c>
      <c r="H713" s="12" t="str">
        <f t="shared" ca="1" si="59"/>
        <v/>
      </c>
      <c r="I713" s="14"/>
      <c r="J713" s="1" t="str">
        <f>IF(COUNTA(A713:F3000)=0,"",IF(#REF!="","BRAK PROTOKOŁU","DODANY"))</f>
        <v/>
      </c>
      <c r="K713" s="1"/>
      <c r="M713" s="13" t="str" cm="1">
        <f t="array" ref="M713">IF($A713="","",IFERROR(TRANSPOSE(_xlfn._xlws.FILTER(Lokale!$C$3:$C$91,Lokale!$B$3:$B$91=$A713)),""))</f>
        <v/>
      </c>
      <c r="AJ713" s="13" t="str" cm="1">
        <f t="array" ref="AJ713">IF($C713="","",IFERROR(TRANSPOSE(_xlfn._xlws.FILTER(Listy!$D$2:$D$60,Listy!$C$2:$C$60=$C713)),""))</f>
        <v/>
      </c>
    </row>
    <row r="714" spans="7:36" ht="25" customHeight="1" x14ac:dyDescent="0.35">
      <c r="G714" s="15" t="str">
        <f t="shared" si="58"/>
        <v/>
      </c>
      <c r="H714" s="12" t="str">
        <f t="shared" ca="1" si="59"/>
        <v/>
      </c>
      <c r="I714" s="14"/>
      <c r="J714" s="1" t="str">
        <f>IF(COUNTA(A714:F3001)=0,"",IF(#REF!="","BRAK PROTOKOŁU","DODANY"))</f>
        <v/>
      </c>
      <c r="K714" s="1"/>
      <c r="M714" s="13" t="str" cm="1">
        <f t="array" ref="M714">IF($A714="","",IFERROR(TRANSPOSE(_xlfn._xlws.FILTER(Lokale!$C$3:$C$91,Lokale!$B$3:$B$91=$A714)),""))</f>
        <v/>
      </c>
      <c r="AJ714" s="13" t="str" cm="1">
        <f t="array" ref="AJ714">IF($C714="","",IFERROR(TRANSPOSE(_xlfn._xlws.FILTER(Listy!$D$2:$D$60,Listy!$C$2:$C$60=$C714)),""))</f>
        <v/>
      </c>
    </row>
    <row r="715" spans="7:36" ht="25" customHeight="1" x14ac:dyDescent="0.35">
      <c r="G715" s="15" t="str">
        <f t="shared" si="58"/>
        <v/>
      </c>
      <c r="H715" s="12" t="str">
        <f t="shared" ca="1" si="59"/>
        <v/>
      </c>
      <c r="I715" s="14"/>
      <c r="J715" s="1" t="str">
        <f>IF(COUNTA(A715:F3002)=0,"",IF(#REF!="","BRAK PROTOKOŁU","DODANY"))</f>
        <v/>
      </c>
      <c r="K715" s="1"/>
      <c r="M715" s="13" t="str" cm="1">
        <f t="array" ref="M715">IF($A715="","",IFERROR(TRANSPOSE(_xlfn._xlws.FILTER(Lokale!$C$3:$C$91,Lokale!$B$3:$B$91=$A715)),""))</f>
        <v/>
      </c>
      <c r="AJ715" s="13" t="str" cm="1">
        <f t="array" ref="AJ715">IF($C715="","",IFERROR(TRANSPOSE(_xlfn._xlws.FILTER(Listy!$D$2:$D$60,Listy!$C$2:$C$60=$C715)),""))</f>
        <v/>
      </c>
    </row>
    <row r="716" spans="7:36" ht="25" customHeight="1" x14ac:dyDescent="0.35">
      <c r="G716" s="15" t="str">
        <f t="shared" si="58"/>
        <v/>
      </c>
      <c r="H716" s="12" t="str">
        <f t="shared" ca="1" si="59"/>
        <v/>
      </c>
      <c r="I716" s="14"/>
      <c r="J716" s="1" t="str">
        <f>IF(COUNTA(A716:F3003)=0,"",IF(#REF!="","BRAK PROTOKOŁU","DODANY"))</f>
        <v/>
      </c>
      <c r="K716" s="1"/>
      <c r="M716" s="13" t="str" cm="1">
        <f t="array" ref="M716">IF($A716="","",IFERROR(TRANSPOSE(_xlfn._xlws.FILTER(Lokale!$C$3:$C$91,Lokale!$B$3:$B$91=$A716)),""))</f>
        <v/>
      </c>
      <c r="AJ716" s="13" t="str" cm="1">
        <f t="array" ref="AJ716">IF($C716="","",IFERROR(TRANSPOSE(_xlfn._xlws.FILTER(Listy!$D$2:$D$60,Listy!$C$2:$C$60=$C716)),""))</f>
        <v/>
      </c>
    </row>
    <row r="717" spans="7:36" ht="25" customHeight="1" x14ac:dyDescent="0.35">
      <c r="G717" s="15" t="str">
        <f t="shared" si="58"/>
        <v/>
      </c>
      <c r="H717" s="12" t="str">
        <f t="shared" ca="1" si="59"/>
        <v/>
      </c>
      <c r="I717" s="14"/>
      <c r="J717" s="1" t="str">
        <f>IF(COUNTA(A717:F3004)=0,"",IF(#REF!="","BRAK PROTOKOŁU","DODANY"))</f>
        <v/>
      </c>
      <c r="K717" s="1"/>
      <c r="M717" s="13" t="str" cm="1">
        <f t="array" ref="M717">IF($A717="","",IFERROR(TRANSPOSE(_xlfn._xlws.FILTER(Lokale!$C$3:$C$91,Lokale!$B$3:$B$91=$A717)),""))</f>
        <v/>
      </c>
      <c r="AJ717" s="13" t="str" cm="1">
        <f t="array" ref="AJ717">IF($C717="","",IFERROR(TRANSPOSE(_xlfn._xlws.FILTER(Listy!$D$2:$D$60,Listy!$C$2:$C$60=$C717)),""))</f>
        <v/>
      </c>
    </row>
    <row r="718" spans="7:36" ht="25" customHeight="1" x14ac:dyDescent="0.35">
      <c r="G718" s="15" t="str">
        <f t="shared" si="58"/>
        <v/>
      </c>
      <c r="H718" s="12" t="str">
        <f t="shared" ca="1" si="59"/>
        <v/>
      </c>
      <c r="I718" s="14"/>
      <c r="J718" s="1" t="str">
        <f>IF(COUNTA(A718:F3005)=0,"",IF(#REF!="","BRAK PROTOKOŁU","DODANY"))</f>
        <v/>
      </c>
      <c r="K718" s="1"/>
      <c r="M718" s="13" t="str" cm="1">
        <f t="array" ref="M718">IF($A718="","",IFERROR(TRANSPOSE(_xlfn._xlws.FILTER(Lokale!$C$3:$C$91,Lokale!$B$3:$B$91=$A718)),""))</f>
        <v/>
      </c>
      <c r="AJ718" s="13" t="str" cm="1">
        <f t="array" ref="AJ718">IF($C718="","",IFERROR(TRANSPOSE(_xlfn._xlws.FILTER(Listy!$D$2:$D$60,Listy!$C$2:$C$60=$C718)),""))</f>
        <v/>
      </c>
    </row>
    <row r="719" spans="7:36" ht="25" customHeight="1" x14ac:dyDescent="0.35">
      <c r="G719" s="15" t="str">
        <f t="shared" si="58"/>
        <v/>
      </c>
      <c r="H719" s="12" t="str">
        <f t="shared" ca="1" si="59"/>
        <v/>
      </c>
      <c r="I719" s="14"/>
      <c r="J719" s="1" t="str">
        <f>IF(COUNTA(A719:F3006)=0,"",IF(#REF!="","BRAK PROTOKOŁU","DODANY"))</f>
        <v/>
      </c>
      <c r="K719" s="1"/>
      <c r="M719" s="13" t="str" cm="1">
        <f t="array" ref="M719">IF($A719="","",IFERROR(TRANSPOSE(_xlfn._xlws.FILTER(Lokale!$C$3:$C$91,Lokale!$B$3:$B$91=$A719)),""))</f>
        <v/>
      </c>
      <c r="AJ719" s="13" t="str" cm="1">
        <f t="array" ref="AJ719">IF($C719="","",IFERROR(TRANSPOSE(_xlfn._xlws.FILTER(Listy!$D$2:$D$60,Listy!$C$2:$C$60=$C719)),""))</f>
        <v/>
      </c>
    </row>
    <row r="720" spans="7:36" ht="25" customHeight="1" x14ac:dyDescent="0.35">
      <c r="G720" s="15" t="str">
        <f t="shared" si="58"/>
        <v/>
      </c>
      <c r="H720" s="12" t="str">
        <f t="shared" ca="1" si="59"/>
        <v/>
      </c>
      <c r="I720" s="14"/>
      <c r="J720" s="1" t="str">
        <f>IF(COUNTA(A720:F3007)=0,"",IF(#REF!="","BRAK PROTOKOŁU","DODANY"))</f>
        <v/>
      </c>
      <c r="K720" s="1"/>
      <c r="M720" s="13" t="str" cm="1">
        <f t="array" ref="M720">IF($A720="","",IFERROR(TRANSPOSE(_xlfn._xlws.FILTER(Lokale!$C$3:$C$91,Lokale!$B$3:$B$91=$A720)),""))</f>
        <v/>
      </c>
      <c r="AJ720" s="13" t="str" cm="1">
        <f t="array" ref="AJ720">IF($C720="","",IFERROR(TRANSPOSE(_xlfn._xlws.FILTER(Listy!$D$2:$D$60,Listy!$C$2:$C$60=$C720)),""))</f>
        <v/>
      </c>
    </row>
    <row r="721" spans="7:36" ht="25" customHeight="1" x14ac:dyDescent="0.35">
      <c r="G721" s="15" t="str">
        <f t="shared" si="58"/>
        <v/>
      </c>
      <c r="H721" s="12" t="str">
        <f t="shared" ca="1" si="59"/>
        <v/>
      </c>
      <c r="I721" s="14"/>
      <c r="J721" s="1" t="str">
        <f>IF(COUNTA(A721:F3008)=0,"",IF(#REF!="","BRAK PROTOKOŁU","DODANY"))</f>
        <v/>
      </c>
      <c r="K721" s="1"/>
      <c r="M721" s="13" t="str" cm="1">
        <f t="array" ref="M721">IF($A721="","",IFERROR(TRANSPOSE(_xlfn._xlws.FILTER(Lokale!$C$3:$C$91,Lokale!$B$3:$B$91=$A721)),""))</f>
        <v/>
      </c>
      <c r="AJ721" s="13" t="str" cm="1">
        <f t="array" ref="AJ721">IF($C721="","",IFERROR(TRANSPOSE(_xlfn._xlws.FILTER(Listy!$D$2:$D$60,Listy!$C$2:$C$60=$C721)),""))</f>
        <v/>
      </c>
    </row>
    <row r="722" spans="7:36" ht="25" customHeight="1" x14ac:dyDescent="0.35">
      <c r="G722" s="15" t="str">
        <f t="shared" si="58"/>
        <v/>
      </c>
      <c r="H722" s="12" t="str">
        <f t="shared" ca="1" si="59"/>
        <v/>
      </c>
      <c r="I722" s="14"/>
      <c r="J722" s="1" t="str">
        <f>IF(COUNTA(A722:F3009)=0,"",IF(#REF!="","BRAK PROTOKOŁU","DODANY"))</f>
        <v/>
      </c>
      <c r="K722" s="1"/>
      <c r="M722" s="13" t="str" cm="1">
        <f t="array" ref="M722">IF($A722="","",IFERROR(TRANSPOSE(_xlfn._xlws.FILTER(Lokale!$C$3:$C$91,Lokale!$B$3:$B$91=$A722)),""))</f>
        <v/>
      </c>
      <c r="AJ722" s="13" t="str" cm="1">
        <f t="array" ref="AJ722">IF($C722="","",IFERROR(TRANSPOSE(_xlfn._xlws.FILTER(Listy!$D$2:$D$60,Listy!$C$2:$C$60=$C722)),""))</f>
        <v/>
      </c>
    </row>
    <row r="723" spans="7:36" ht="25" customHeight="1" x14ac:dyDescent="0.35">
      <c r="G723" s="15" t="str">
        <f t="shared" si="58"/>
        <v/>
      </c>
      <c r="H723" s="12" t="str">
        <f t="shared" ca="1" si="59"/>
        <v/>
      </c>
      <c r="I723" s="14"/>
      <c r="J723" s="1" t="str">
        <f>IF(COUNTA(A723:F3010)=0,"",IF(#REF!="","BRAK PROTOKOŁU","DODANY"))</f>
        <v/>
      </c>
      <c r="K723" s="1"/>
      <c r="M723" s="13" t="str" cm="1">
        <f t="array" ref="M723">IF($A723="","",IFERROR(TRANSPOSE(_xlfn._xlws.FILTER(Lokale!$C$3:$C$91,Lokale!$B$3:$B$91=$A723)),""))</f>
        <v/>
      </c>
      <c r="AJ723" s="13" t="str" cm="1">
        <f t="array" ref="AJ723">IF($C723="","",IFERROR(TRANSPOSE(_xlfn._xlws.FILTER(Listy!$D$2:$D$60,Listy!$C$2:$C$60=$C723)),""))</f>
        <v/>
      </c>
    </row>
    <row r="724" spans="7:36" ht="25" customHeight="1" x14ac:dyDescent="0.35">
      <c r="G724" s="15" t="str">
        <f t="shared" si="58"/>
        <v/>
      </c>
      <c r="H724" s="12" t="str">
        <f t="shared" ca="1" si="59"/>
        <v/>
      </c>
      <c r="I724" s="14"/>
      <c r="J724" s="1" t="str">
        <f>IF(COUNTA(A724:F3011)=0,"",IF(#REF!="","BRAK PROTOKOŁU","DODANY"))</f>
        <v/>
      </c>
      <c r="K724" s="1"/>
      <c r="M724" s="13" t="str" cm="1">
        <f t="array" ref="M724">IF($A724="","",IFERROR(TRANSPOSE(_xlfn._xlws.FILTER(Lokale!$C$3:$C$91,Lokale!$B$3:$B$91=$A724)),""))</f>
        <v/>
      </c>
      <c r="AJ724" s="13" t="str" cm="1">
        <f t="array" ref="AJ724">IF($C724="","",IFERROR(TRANSPOSE(_xlfn._xlws.FILTER(Listy!$D$2:$D$60,Listy!$C$2:$C$60=$C724)),""))</f>
        <v/>
      </c>
    </row>
    <row r="725" spans="7:36" ht="25" customHeight="1" x14ac:dyDescent="0.35">
      <c r="G725" s="15" t="str">
        <f t="shared" si="58"/>
        <v/>
      </c>
      <c r="H725" s="12" t="str">
        <f t="shared" ca="1" si="59"/>
        <v/>
      </c>
      <c r="I725" s="14"/>
      <c r="J725" s="1" t="str">
        <f>IF(COUNTA(A725:F3012)=0,"",IF(#REF!="","BRAK PROTOKOŁU","DODANY"))</f>
        <v/>
      </c>
      <c r="K725" s="1"/>
      <c r="M725" s="13" t="str" cm="1">
        <f t="array" ref="M725">IF($A725="","",IFERROR(TRANSPOSE(_xlfn._xlws.FILTER(Lokale!$C$3:$C$91,Lokale!$B$3:$B$91=$A725)),""))</f>
        <v/>
      </c>
      <c r="AJ725" s="13" t="str" cm="1">
        <f t="array" ref="AJ725">IF($C725="","",IFERROR(TRANSPOSE(_xlfn._xlws.FILTER(Listy!$D$2:$D$60,Listy!$C$2:$C$60=$C725)),""))</f>
        <v/>
      </c>
    </row>
    <row r="726" spans="7:36" ht="25" customHeight="1" x14ac:dyDescent="0.35">
      <c r="G726" s="15" t="str">
        <f t="shared" si="58"/>
        <v/>
      </c>
      <c r="H726" s="12" t="str">
        <f t="shared" ca="1" si="59"/>
        <v/>
      </c>
      <c r="I726" s="14"/>
      <c r="J726" s="1" t="str">
        <f>IF(COUNTA(A726:F3013)=0,"",IF(#REF!="","BRAK PROTOKOŁU","DODANY"))</f>
        <v/>
      </c>
      <c r="K726" s="1"/>
      <c r="M726" s="13" t="str" cm="1">
        <f t="array" ref="M726">IF($A726="","",IFERROR(TRANSPOSE(_xlfn._xlws.FILTER(Lokale!$C$3:$C$91,Lokale!$B$3:$B$91=$A726)),""))</f>
        <v/>
      </c>
      <c r="AJ726" s="13" t="str" cm="1">
        <f t="array" ref="AJ726">IF($C726="","",IFERROR(TRANSPOSE(_xlfn._xlws.FILTER(Listy!$D$2:$D$60,Listy!$C$2:$C$60=$C726)),""))</f>
        <v/>
      </c>
    </row>
    <row r="727" spans="7:36" ht="25" customHeight="1" x14ac:dyDescent="0.35">
      <c r="G727" s="15" t="str">
        <f t="shared" si="58"/>
        <v/>
      </c>
      <c r="H727" s="12" t="str">
        <f t="shared" ca="1" si="59"/>
        <v/>
      </c>
      <c r="I727" s="14"/>
      <c r="J727" s="1" t="str">
        <f>IF(COUNTA(A727:F3014)=0,"",IF(#REF!="","BRAK PROTOKOŁU","DODANY"))</f>
        <v/>
      </c>
      <c r="K727" s="1"/>
      <c r="M727" s="13" t="str" cm="1">
        <f t="array" ref="M727">IF($A727="","",IFERROR(TRANSPOSE(_xlfn._xlws.FILTER(Lokale!$C$3:$C$91,Lokale!$B$3:$B$91=$A727)),""))</f>
        <v/>
      </c>
      <c r="AJ727" s="13" t="str" cm="1">
        <f t="array" ref="AJ727">IF($C727="","",IFERROR(TRANSPOSE(_xlfn._xlws.FILTER(Listy!$D$2:$D$60,Listy!$C$2:$C$60=$C727)),""))</f>
        <v/>
      </c>
    </row>
    <row r="728" spans="7:36" ht="25" customHeight="1" x14ac:dyDescent="0.35">
      <c r="G728" s="15" t="str">
        <f t="shared" si="58"/>
        <v/>
      </c>
      <c r="H728" s="12" t="str">
        <f t="shared" ca="1" si="59"/>
        <v/>
      </c>
      <c r="I728" s="14"/>
      <c r="J728" s="1" t="str">
        <f>IF(COUNTA(A728:F3015)=0,"",IF(#REF!="","BRAK PROTOKOŁU","DODANY"))</f>
        <v/>
      </c>
      <c r="K728" s="1"/>
      <c r="M728" s="13" t="str" cm="1">
        <f t="array" ref="M728">IF($A728="","",IFERROR(TRANSPOSE(_xlfn._xlws.FILTER(Lokale!$C$3:$C$91,Lokale!$B$3:$B$91=$A728)),""))</f>
        <v/>
      </c>
      <c r="AJ728" s="13" t="str" cm="1">
        <f t="array" ref="AJ728">IF($C728="","",IFERROR(TRANSPOSE(_xlfn._xlws.FILTER(Listy!$D$2:$D$60,Listy!$C$2:$C$60=$C728)),""))</f>
        <v/>
      </c>
    </row>
    <row r="729" spans="7:36" ht="25" customHeight="1" x14ac:dyDescent="0.35">
      <c r="G729" s="15" t="str">
        <f t="shared" si="58"/>
        <v/>
      </c>
      <c r="H729" s="12" t="str">
        <f t="shared" ca="1" si="59"/>
        <v/>
      </c>
      <c r="I729" s="14"/>
      <c r="J729" s="1" t="str">
        <f>IF(COUNTA(A729:F3016)=0,"",IF(#REF!="","BRAK PROTOKOŁU","DODANY"))</f>
        <v/>
      </c>
      <c r="K729" s="1"/>
      <c r="M729" s="13" t="str" cm="1">
        <f t="array" ref="M729">IF($A729="","",IFERROR(TRANSPOSE(_xlfn._xlws.FILTER(Lokale!$C$3:$C$91,Lokale!$B$3:$B$91=$A729)),""))</f>
        <v/>
      </c>
      <c r="AJ729" s="13" t="str" cm="1">
        <f t="array" ref="AJ729">IF($C729="","",IFERROR(TRANSPOSE(_xlfn._xlws.FILTER(Listy!$D$2:$D$60,Listy!$C$2:$C$60=$C729)),""))</f>
        <v/>
      </c>
    </row>
    <row r="730" spans="7:36" ht="25" customHeight="1" x14ac:dyDescent="0.35">
      <c r="G730" s="15" t="str">
        <f t="shared" si="58"/>
        <v/>
      </c>
      <c r="H730" s="12" t="str">
        <f t="shared" ca="1" si="59"/>
        <v/>
      </c>
      <c r="I730" s="14"/>
      <c r="J730" s="1" t="str">
        <f>IF(COUNTA(A730:F3017)=0,"",IF(#REF!="","BRAK PROTOKOŁU","DODANY"))</f>
        <v/>
      </c>
      <c r="K730" s="1"/>
      <c r="M730" s="13" t="str" cm="1">
        <f t="array" ref="M730">IF($A730="","",IFERROR(TRANSPOSE(_xlfn._xlws.FILTER(Lokale!$C$3:$C$91,Lokale!$B$3:$B$91=$A730)),""))</f>
        <v/>
      </c>
      <c r="AJ730" s="13" t="str" cm="1">
        <f t="array" ref="AJ730">IF($C730="","",IFERROR(TRANSPOSE(_xlfn._xlws.FILTER(Listy!$D$2:$D$60,Listy!$C$2:$C$60=$C730)),""))</f>
        <v/>
      </c>
    </row>
    <row r="731" spans="7:36" ht="25" customHeight="1" x14ac:dyDescent="0.35">
      <c r="G731" s="15" t="str">
        <f t="shared" si="58"/>
        <v/>
      </c>
      <c r="H731" s="12" t="str">
        <f t="shared" ca="1" si="59"/>
        <v/>
      </c>
      <c r="I731" s="14"/>
      <c r="J731" s="1" t="str">
        <f>IF(COUNTA(A731:F3018)=0,"",IF(#REF!="","BRAK PROTOKOŁU","DODANY"))</f>
        <v/>
      </c>
      <c r="K731" s="1"/>
      <c r="M731" s="13" t="str" cm="1">
        <f t="array" ref="M731">IF($A731="","",IFERROR(TRANSPOSE(_xlfn._xlws.FILTER(Lokale!$C$3:$C$91,Lokale!$B$3:$B$91=$A731)),""))</f>
        <v/>
      </c>
      <c r="AJ731" s="13" t="str" cm="1">
        <f t="array" ref="AJ731">IF($C731="","",IFERROR(TRANSPOSE(_xlfn._xlws.FILTER(Listy!$D$2:$D$60,Listy!$C$2:$C$60=$C731)),""))</f>
        <v/>
      </c>
    </row>
    <row r="732" spans="7:36" ht="25" customHeight="1" x14ac:dyDescent="0.35">
      <c r="G732" s="15" t="str">
        <f t="shared" si="58"/>
        <v/>
      </c>
      <c r="H732" s="12" t="str">
        <f t="shared" ca="1" si="59"/>
        <v/>
      </c>
      <c r="I732" s="14"/>
      <c r="J732" s="1" t="str">
        <f>IF(COUNTA(A732:F3019)=0,"",IF(#REF!="","BRAK PROTOKOŁU","DODANY"))</f>
        <v/>
      </c>
      <c r="K732" s="1"/>
      <c r="M732" s="13" t="str" cm="1">
        <f t="array" ref="M732">IF($A732="","",IFERROR(TRANSPOSE(_xlfn._xlws.FILTER(Lokale!$C$3:$C$91,Lokale!$B$3:$B$91=$A732)),""))</f>
        <v/>
      </c>
      <c r="AJ732" s="13" t="str" cm="1">
        <f t="array" ref="AJ732">IF($C732="","",IFERROR(TRANSPOSE(_xlfn._xlws.FILTER(Listy!$D$2:$D$60,Listy!$C$2:$C$60=$C732)),""))</f>
        <v/>
      </c>
    </row>
    <row r="733" spans="7:36" ht="25" customHeight="1" x14ac:dyDescent="0.35">
      <c r="G733" s="15" t="str">
        <f t="shared" si="58"/>
        <v/>
      </c>
      <c r="H733" s="12" t="str">
        <f t="shared" ca="1" si="59"/>
        <v/>
      </c>
      <c r="I733" s="14"/>
      <c r="J733" s="1" t="str">
        <f>IF(COUNTA(A733:F3020)=0,"",IF(#REF!="","BRAK PROTOKOŁU","DODANY"))</f>
        <v/>
      </c>
      <c r="K733" s="1"/>
      <c r="M733" s="13" t="str" cm="1">
        <f t="array" ref="M733">IF($A733="","",IFERROR(TRANSPOSE(_xlfn._xlws.FILTER(Lokale!$C$3:$C$91,Lokale!$B$3:$B$91=$A733)),""))</f>
        <v/>
      </c>
      <c r="AJ733" s="13" t="str" cm="1">
        <f t="array" ref="AJ733">IF($C733="","",IFERROR(TRANSPOSE(_xlfn._xlws.FILTER(Listy!$D$2:$D$60,Listy!$C$2:$C$60=$C733)),""))</f>
        <v/>
      </c>
    </row>
    <row r="734" spans="7:36" ht="25" customHeight="1" x14ac:dyDescent="0.35">
      <c r="G734" s="15" t="str">
        <f t="shared" si="58"/>
        <v/>
      </c>
      <c r="H734" s="12" t="str">
        <f t="shared" ca="1" si="59"/>
        <v/>
      </c>
      <c r="I734" s="14"/>
      <c r="J734" s="1" t="str">
        <f>IF(COUNTA(A734:F3021)=0,"",IF(#REF!="","BRAK PROTOKOŁU","DODANY"))</f>
        <v/>
      </c>
      <c r="K734" s="1"/>
      <c r="M734" s="13" t="str" cm="1">
        <f t="array" ref="M734">IF($A734="","",IFERROR(TRANSPOSE(_xlfn._xlws.FILTER(Lokale!$C$3:$C$91,Lokale!$B$3:$B$91=$A734)),""))</f>
        <v/>
      </c>
      <c r="AJ734" s="13" t="str" cm="1">
        <f t="array" ref="AJ734">IF($C734="","",IFERROR(TRANSPOSE(_xlfn._xlws.FILTER(Listy!$D$2:$D$60,Listy!$C$2:$C$60=$C734)),""))</f>
        <v/>
      </c>
    </row>
    <row r="735" spans="7:36" ht="25" customHeight="1" x14ac:dyDescent="0.35">
      <c r="G735" s="15" t="str">
        <f t="shared" si="58"/>
        <v/>
      </c>
      <c r="H735" s="12" t="str">
        <f t="shared" ca="1" si="59"/>
        <v/>
      </c>
      <c r="I735" s="14"/>
      <c r="J735" s="1" t="str">
        <f>IF(COUNTA(A735:F3022)=0,"",IF(#REF!="","BRAK PROTOKOŁU","DODANY"))</f>
        <v/>
      </c>
      <c r="K735" s="1"/>
      <c r="M735" s="13" t="str" cm="1">
        <f t="array" ref="M735">IF($A735="","",IFERROR(TRANSPOSE(_xlfn._xlws.FILTER(Lokale!$C$3:$C$91,Lokale!$B$3:$B$91=$A735)),""))</f>
        <v/>
      </c>
      <c r="AJ735" s="13" t="str" cm="1">
        <f t="array" ref="AJ735">IF($C735="","",IFERROR(TRANSPOSE(_xlfn._xlws.FILTER(Listy!$D$2:$D$60,Listy!$C$2:$C$60=$C735)),""))</f>
        <v/>
      </c>
    </row>
    <row r="736" spans="7:36" ht="25" customHeight="1" x14ac:dyDescent="0.35">
      <c r="G736" s="15" t="str">
        <f t="shared" si="58"/>
        <v/>
      </c>
      <c r="H736" s="12" t="str">
        <f t="shared" ca="1" si="59"/>
        <v/>
      </c>
      <c r="I736" s="14"/>
      <c r="J736" s="1" t="str">
        <f>IF(COUNTA(A736:F3023)=0,"",IF(#REF!="","BRAK PROTOKOŁU","DODANY"))</f>
        <v/>
      </c>
      <c r="K736" s="1"/>
      <c r="M736" s="13" t="str" cm="1">
        <f t="array" ref="M736">IF($A736="","",IFERROR(TRANSPOSE(_xlfn._xlws.FILTER(Lokale!$C$3:$C$91,Lokale!$B$3:$B$91=$A736)),""))</f>
        <v/>
      </c>
      <c r="AJ736" s="13" t="str" cm="1">
        <f t="array" ref="AJ736">IF($C736="","",IFERROR(TRANSPOSE(_xlfn._xlws.FILTER(Listy!$D$2:$D$60,Listy!$C$2:$C$60=$C736)),""))</f>
        <v/>
      </c>
    </row>
    <row r="737" spans="7:36" ht="25" customHeight="1" x14ac:dyDescent="0.35">
      <c r="G737" s="15" t="str">
        <f t="shared" si="58"/>
        <v/>
      </c>
      <c r="H737" s="12" t="str">
        <f t="shared" ca="1" si="59"/>
        <v/>
      </c>
      <c r="I737" s="14"/>
      <c r="J737" s="1" t="str">
        <f>IF(COUNTA(A737:F3024)=0,"",IF(#REF!="","BRAK PROTOKOŁU","DODANY"))</f>
        <v/>
      </c>
      <c r="K737" s="1"/>
      <c r="M737" s="13" t="str" cm="1">
        <f t="array" ref="M737">IF($A737="","",IFERROR(TRANSPOSE(_xlfn._xlws.FILTER(Lokale!$C$3:$C$91,Lokale!$B$3:$B$91=$A737)),""))</f>
        <v/>
      </c>
      <c r="AJ737" s="13" t="str" cm="1">
        <f t="array" ref="AJ737">IF($C737="","",IFERROR(TRANSPOSE(_xlfn._xlws.FILTER(Listy!$D$2:$D$60,Listy!$C$2:$C$60=$C737)),""))</f>
        <v/>
      </c>
    </row>
    <row r="738" spans="7:36" ht="25" customHeight="1" x14ac:dyDescent="0.35">
      <c r="G738" s="15" t="str">
        <f t="shared" ref="G738:G801" si="60">IF(OR(E738="",F738=""),"",DATE(YEAR(E738),MONTH(E738)+F738,DAY(E738)))</f>
        <v/>
      </c>
      <c r="H738" s="12" t="str">
        <f t="shared" ref="H738:H801" ca="1" si="61">IF(G738="","",IF(G738&lt;TODAY(),"PO TERMINIE",IF(G738&lt;=TODAY()+14,"DO WYKONANIA","OK")))</f>
        <v/>
      </c>
      <c r="I738" s="14"/>
      <c r="J738" s="1" t="str">
        <f>IF(COUNTA(A738:F3025)=0,"",IF(#REF!="","BRAK PROTOKOŁU","DODANY"))</f>
        <v/>
      </c>
      <c r="K738" s="1"/>
      <c r="M738" s="13" t="str" cm="1">
        <f t="array" ref="M738">IF($A738="","",IFERROR(TRANSPOSE(_xlfn._xlws.FILTER(Lokale!$C$3:$C$91,Lokale!$B$3:$B$91=$A738)),""))</f>
        <v/>
      </c>
      <c r="AJ738" s="13" t="str" cm="1">
        <f t="array" ref="AJ738">IF($C738="","",IFERROR(TRANSPOSE(_xlfn._xlws.FILTER(Listy!$D$2:$D$60,Listy!$C$2:$C$60=$C738)),""))</f>
        <v/>
      </c>
    </row>
    <row r="739" spans="7:36" ht="25" customHeight="1" x14ac:dyDescent="0.35">
      <c r="G739" s="15" t="str">
        <f t="shared" si="60"/>
        <v/>
      </c>
      <c r="H739" s="12" t="str">
        <f t="shared" ca="1" si="61"/>
        <v/>
      </c>
      <c r="I739" s="14"/>
      <c r="J739" s="1" t="str">
        <f>IF(COUNTA(A739:F3026)=0,"",IF(#REF!="","BRAK PROTOKOŁU","DODANY"))</f>
        <v/>
      </c>
      <c r="K739" s="1"/>
      <c r="M739" s="13" t="str" cm="1">
        <f t="array" ref="M739">IF($A739="","",IFERROR(TRANSPOSE(_xlfn._xlws.FILTER(Lokale!$C$3:$C$91,Lokale!$B$3:$B$91=$A739)),""))</f>
        <v/>
      </c>
      <c r="AJ739" s="13" t="str" cm="1">
        <f t="array" ref="AJ739">IF($C739="","",IFERROR(TRANSPOSE(_xlfn._xlws.FILTER(Listy!$D$2:$D$60,Listy!$C$2:$C$60=$C739)),""))</f>
        <v/>
      </c>
    </row>
    <row r="740" spans="7:36" ht="25" customHeight="1" x14ac:dyDescent="0.35">
      <c r="G740" s="15" t="str">
        <f t="shared" si="60"/>
        <v/>
      </c>
      <c r="H740" s="12" t="str">
        <f t="shared" ca="1" si="61"/>
        <v/>
      </c>
      <c r="I740" s="14"/>
      <c r="J740" s="1" t="str">
        <f>IF(COUNTA(A740:F3027)=0,"",IF(#REF!="","BRAK PROTOKOŁU","DODANY"))</f>
        <v/>
      </c>
      <c r="K740" s="1"/>
      <c r="M740" s="13" t="str" cm="1">
        <f t="array" ref="M740">IF($A740="","",IFERROR(TRANSPOSE(_xlfn._xlws.FILTER(Lokale!$C$3:$C$91,Lokale!$B$3:$B$91=$A740)),""))</f>
        <v/>
      </c>
      <c r="AJ740" s="13" t="str" cm="1">
        <f t="array" ref="AJ740">IF($C740="","",IFERROR(TRANSPOSE(_xlfn._xlws.FILTER(Listy!$D$2:$D$60,Listy!$C$2:$C$60=$C740)),""))</f>
        <v/>
      </c>
    </row>
    <row r="741" spans="7:36" ht="25" customHeight="1" x14ac:dyDescent="0.35">
      <c r="G741" s="15" t="str">
        <f t="shared" si="60"/>
        <v/>
      </c>
      <c r="H741" s="12" t="str">
        <f t="shared" ca="1" si="61"/>
        <v/>
      </c>
      <c r="I741" s="14"/>
      <c r="J741" s="1" t="str">
        <f>IF(COUNTA(A741:F3028)=0,"",IF(#REF!="","BRAK PROTOKOŁU","DODANY"))</f>
        <v/>
      </c>
      <c r="K741" s="1"/>
      <c r="M741" s="13" t="str" cm="1">
        <f t="array" ref="M741">IF($A741="","",IFERROR(TRANSPOSE(_xlfn._xlws.FILTER(Lokale!$C$3:$C$91,Lokale!$B$3:$B$91=$A741)),""))</f>
        <v/>
      </c>
      <c r="AJ741" s="13" t="str" cm="1">
        <f t="array" ref="AJ741">IF($C741="","",IFERROR(TRANSPOSE(_xlfn._xlws.FILTER(Listy!$D$2:$D$60,Listy!$C$2:$C$60=$C741)),""))</f>
        <v/>
      </c>
    </row>
    <row r="742" spans="7:36" ht="25" customHeight="1" x14ac:dyDescent="0.35">
      <c r="G742" s="15" t="str">
        <f t="shared" si="60"/>
        <v/>
      </c>
      <c r="H742" s="12" t="str">
        <f t="shared" ca="1" si="61"/>
        <v/>
      </c>
      <c r="I742" s="14"/>
      <c r="J742" s="1" t="str">
        <f>IF(COUNTA(A742:F3029)=0,"",IF(#REF!="","BRAK PROTOKOŁU","DODANY"))</f>
        <v/>
      </c>
      <c r="K742" s="1"/>
      <c r="M742" s="13" t="str" cm="1">
        <f t="array" ref="M742">IF($A742="","",IFERROR(TRANSPOSE(_xlfn._xlws.FILTER(Lokale!$C$3:$C$91,Lokale!$B$3:$B$91=$A742)),""))</f>
        <v/>
      </c>
      <c r="AJ742" s="13" t="str" cm="1">
        <f t="array" ref="AJ742">IF($C742="","",IFERROR(TRANSPOSE(_xlfn._xlws.FILTER(Listy!$D$2:$D$60,Listy!$C$2:$C$60=$C742)),""))</f>
        <v/>
      </c>
    </row>
    <row r="743" spans="7:36" ht="25" customHeight="1" x14ac:dyDescent="0.35">
      <c r="G743" s="15" t="str">
        <f t="shared" si="60"/>
        <v/>
      </c>
      <c r="H743" s="12" t="str">
        <f t="shared" ca="1" si="61"/>
        <v/>
      </c>
      <c r="I743" s="14"/>
      <c r="J743" s="1" t="str">
        <f>IF(COUNTA(A743:F3030)=0,"",IF(#REF!="","BRAK PROTOKOŁU","DODANY"))</f>
        <v/>
      </c>
      <c r="K743" s="1"/>
      <c r="M743" s="13" t="str" cm="1">
        <f t="array" ref="M743">IF($A743="","",IFERROR(TRANSPOSE(_xlfn._xlws.FILTER(Lokale!$C$3:$C$91,Lokale!$B$3:$B$91=$A743)),""))</f>
        <v/>
      </c>
      <c r="AJ743" s="13" t="str" cm="1">
        <f t="array" ref="AJ743">IF($C743="","",IFERROR(TRANSPOSE(_xlfn._xlws.FILTER(Listy!$D$2:$D$60,Listy!$C$2:$C$60=$C743)),""))</f>
        <v/>
      </c>
    </row>
    <row r="744" spans="7:36" ht="25" customHeight="1" x14ac:dyDescent="0.35">
      <c r="G744" s="15" t="str">
        <f t="shared" si="60"/>
        <v/>
      </c>
      <c r="H744" s="12" t="str">
        <f t="shared" ca="1" si="61"/>
        <v/>
      </c>
      <c r="I744" s="14"/>
      <c r="J744" s="1" t="str">
        <f>IF(COUNTA(A744:F3031)=0,"",IF(#REF!="","BRAK PROTOKOŁU","DODANY"))</f>
        <v/>
      </c>
      <c r="K744" s="1"/>
      <c r="M744" s="13" t="str" cm="1">
        <f t="array" ref="M744">IF($A744="","",IFERROR(TRANSPOSE(_xlfn._xlws.FILTER(Lokale!$C$3:$C$91,Lokale!$B$3:$B$91=$A744)),""))</f>
        <v/>
      </c>
      <c r="AJ744" s="13" t="str" cm="1">
        <f t="array" ref="AJ744">IF($C744="","",IFERROR(TRANSPOSE(_xlfn._xlws.FILTER(Listy!$D$2:$D$60,Listy!$C$2:$C$60=$C744)),""))</f>
        <v/>
      </c>
    </row>
    <row r="745" spans="7:36" ht="25" customHeight="1" x14ac:dyDescent="0.35">
      <c r="G745" s="15" t="str">
        <f t="shared" si="60"/>
        <v/>
      </c>
      <c r="H745" s="12" t="str">
        <f t="shared" ca="1" si="61"/>
        <v/>
      </c>
      <c r="I745" s="14"/>
      <c r="J745" s="1" t="str">
        <f>IF(COUNTA(A745:F3032)=0,"",IF(#REF!="","BRAK PROTOKOŁU","DODANY"))</f>
        <v/>
      </c>
      <c r="K745" s="1"/>
      <c r="M745" s="13" t="str" cm="1">
        <f t="array" ref="M745">IF($A745="","",IFERROR(TRANSPOSE(_xlfn._xlws.FILTER(Lokale!$C$3:$C$91,Lokale!$B$3:$B$91=$A745)),""))</f>
        <v/>
      </c>
      <c r="AJ745" s="13" t="str" cm="1">
        <f t="array" ref="AJ745">IF($C745="","",IFERROR(TRANSPOSE(_xlfn._xlws.FILTER(Listy!$D$2:$D$60,Listy!$C$2:$C$60=$C745)),""))</f>
        <v/>
      </c>
    </row>
    <row r="746" spans="7:36" ht="25" customHeight="1" x14ac:dyDescent="0.35">
      <c r="G746" s="15" t="str">
        <f t="shared" si="60"/>
        <v/>
      </c>
      <c r="H746" s="12" t="str">
        <f t="shared" ca="1" si="61"/>
        <v/>
      </c>
      <c r="I746" s="14"/>
      <c r="J746" s="1" t="str">
        <f>IF(COUNTA(A746:F3033)=0,"",IF(#REF!="","BRAK PROTOKOŁU","DODANY"))</f>
        <v/>
      </c>
      <c r="K746" s="1"/>
      <c r="M746" s="13" t="str" cm="1">
        <f t="array" ref="M746">IF($A746="","",IFERROR(TRANSPOSE(_xlfn._xlws.FILTER(Lokale!$C$3:$C$91,Lokale!$B$3:$B$91=$A746)),""))</f>
        <v/>
      </c>
      <c r="AJ746" s="13" t="str" cm="1">
        <f t="array" ref="AJ746">IF($C746="","",IFERROR(TRANSPOSE(_xlfn._xlws.FILTER(Listy!$D$2:$D$60,Listy!$C$2:$C$60=$C746)),""))</f>
        <v/>
      </c>
    </row>
    <row r="747" spans="7:36" ht="25" customHeight="1" x14ac:dyDescent="0.35">
      <c r="G747" s="15" t="str">
        <f t="shared" si="60"/>
        <v/>
      </c>
      <c r="H747" s="12" t="str">
        <f t="shared" ca="1" si="61"/>
        <v/>
      </c>
      <c r="I747" s="14"/>
      <c r="J747" s="1" t="str">
        <f>IF(COUNTA(A747:F3034)=0,"",IF(#REF!="","BRAK PROTOKOŁU","DODANY"))</f>
        <v/>
      </c>
      <c r="K747" s="1"/>
      <c r="M747" s="13" t="str" cm="1">
        <f t="array" ref="M747">IF($A747="","",IFERROR(TRANSPOSE(_xlfn._xlws.FILTER(Lokale!$C$3:$C$91,Lokale!$B$3:$B$91=$A747)),""))</f>
        <v/>
      </c>
      <c r="AJ747" s="13" t="str" cm="1">
        <f t="array" ref="AJ747">IF($C747="","",IFERROR(TRANSPOSE(_xlfn._xlws.FILTER(Listy!$D$2:$D$60,Listy!$C$2:$C$60=$C747)),""))</f>
        <v/>
      </c>
    </row>
    <row r="748" spans="7:36" ht="25" customHeight="1" x14ac:dyDescent="0.35">
      <c r="G748" s="15" t="str">
        <f t="shared" si="60"/>
        <v/>
      </c>
      <c r="H748" s="12" t="str">
        <f t="shared" ca="1" si="61"/>
        <v/>
      </c>
      <c r="I748" s="14"/>
      <c r="J748" s="1" t="str">
        <f>IF(COUNTA(A748:F3035)=0,"",IF(#REF!="","BRAK PROTOKOŁU","DODANY"))</f>
        <v/>
      </c>
      <c r="K748" s="1"/>
      <c r="M748" s="13" t="str" cm="1">
        <f t="array" ref="M748">IF($A748="","",IFERROR(TRANSPOSE(_xlfn._xlws.FILTER(Lokale!$C$3:$C$91,Lokale!$B$3:$B$91=$A748)),""))</f>
        <v/>
      </c>
      <c r="AJ748" s="13" t="str" cm="1">
        <f t="array" ref="AJ748">IF($C748="","",IFERROR(TRANSPOSE(_xlfn._xlws.FILTER(Listy!$D$2:$D$60,Listy!$C$2:$C$60=$C748)),""))</f>
        <v/>
      </c>
    </row>
    <row r="749" spans="7:36" ht="25" customHeight="1" x14ac:dyDescent="0.35">
      <c r="G749" s="15" t="str">
        <f t="shared" si="60"/>
        <v/>
      </c>
      <c r="H749" s="12" t="str">
        <f t="shared" ca="1" si="61"/>
        <v/>
      </c>
      <c r="I749" s="14"/>
      <c r="J749" s="1" t="str">
        <f>IF(COUNTA(A749:F3036)=0,"",IF(#REF!="","BRAK PROTOKOŁU","DODANY"))</f>
        <v/>
      </c>
      <c r="K749" s="1"/>
      <c r="M749" s="13" t="str" cm="1">
        <f t="array" ref="M749">IF($A749="","",IFERROR(TRANSPOSE(_xlfn._xlws.FILTER(Lokale!$C$3:$C$91,Lokale!$B$3:$B$91=$A749)),""))</f>
        <v/>
      </c>
      <c r="AJ749" s="13" t="str" cm="1">
        <f t="array" ref="AJ749">IF($C749="","",IFERROR(TRANSPOSE(_xlfn._xlws.FILTER(Listy!$D$2:$D$60,Listy!$C$2:$C$60=$C749)),""))</f>
        <v/>
      </c>
    </row>
    <row r="750" spans="7:36" ht="25" customHeight="1" x14ac:dyDescent="0.35">
      <c r="G750" s="15" t="str">
        <f t="shared" si="60"/>
        <v/>
      </c>
      <c r="H750" s="12" t="str">
        <f t="shared" ca="1" si="61"/>
        <v/>
      </c>
      <c r="I750" s="14"/>
      <c r="J750" s="1" t="str">
        <f>IF(COUNTA(A750:F3037)=0,"",IF(#REF!="","BRAK PROTOKOŁU","DODANY"))</f>
        <v/>
      </c>
      <c r="K750" s="1"/>
      <c r="M750" s="13" t="str" cm="1">
        <f t="array" ref="M750">IF($A750="","",IFERROR(TRANSPOSE(_xlfn._xlws.FILTER(Lokale!$C$3:$C$91,Lokale!$B$3:$B$91=$A750)),""))</f>
        <v/>
      </c>
      <c r="AJ750" s="13" t="str" cm="1">
        <f t="array" ref="AJ750">IF($C750="","",IFERROR(TRANSPOSE(_xlfn._xlws.FILTER(Listy!$D$2:$D$60,Listy!$C$2:$C$60=$C750)),""))</f>
        <v/>
      </c>
    </row>
    <row r="751" spans="7:36" ht="25" customHeight="1" x14ac:dyDescent="0.35">
      <c r="G751" s="15" t="str">
        <f t="shared" si="60"/>
        <v/>
      </c>
      <c r="H751" s="12" t="str">
        <f t="shared" ca="1" si="61"/>
        <v/>
      </c>
      <c r="I751" s="14"/>
      <c r="J751" s="1" t="str">
        <f>IF(COUNTA(A751:F3038)=0,"",IF(#REF!="","BRAK PROTOKOŁU","DODANY"))</f>
        <v/>
      </c>
      <c r="K751" s="1"/>
      <c r="M751" s="13" t="str" cm="1">
        <f t="array" ref="M751">IF($A751="","",IFERROR(TRANSPOSE(_xlfn._xlws.FILTER(Lokale!$C$3:$C$91,Lokale!$B$3:$B$91=$A751)),""))</f>
        <v/>
      </c>
      <c r="AJ751" s="13" t="str" cm="1">
        <f t="array" ref="AJ751">IF($C751="","",IFERROR(TRANSPOSE(_xlfn._xlws.FILTER(Listy!$D$2:$D$60,Listy!$C$2:$C$60=$C751)),""))</f>
        <v/>
      </c>
    </row>
    <row r="752" spans="7:36" ht="25" customHeight="1" x14ac:dyDescent="0.35">
      <c r="G752" s="15" t="str">
        <f t="shared" si="60"/>
        <v/>
      </c>
      <c r="H752" s="12" t="str">
        <f t="shared" ca="1" si="61"/>
        <v/>
      </c>
      <c r="I752" s="14"/>
      <c r="J752" s="1" t="str">
        <f>IF(COUNTA(A752:F3039)=0,"",IF(#REF!="","BRAK PROTOKOŁU","DODANY"))</f>
        <v/>
      </c>
      <c r="K752" s="1"/>
      <c r="M752" s="13" t="str" cm="1">
        <f t="array" ref="M752">IF($A752="","",IFERROR(TRANSPOSE(_xlfn._xlws.FILTER(Lokale!$C$3:$C$91,Lokale!$B$3:$B$91=$A752)),""))</f>
        <v/>
      </c>
      <c r="AJ752" s="13" t="str" cm="1">
        <f t="array" ref="AJ752">IF($C752="","",IFERROR(TRANSPOSE(_xlfn._xlws.FILTER(Listy!$D$2:$D$60,Listy!$C$2:$C$60=$C752)),""))</f>
        <v/>
      </c>
    </row>
    <row r="753" spans="7:36" ht="25" customHeight="1" x14ac:dyDescent="0.35">
      <c r="G753" s="15" t="str">
        <f t="shared" si="60"/>
        <v/>
      </c>
      <c r="H753" s="12" t="str">
        <f t="shared" ca="1" si="61"/>
        <v/>
      </c>
      <c r="I753" s="14"/>
      <c r="J753" s="1" t="str">
        <f>IF(COUNTA(A753:F3040)=0,"",IF(#REF!="","BRAK PROTOKOŁU","DODANY"))</f>
        <v/>
      </c>
      <c r="K753" s="1"/>
      <c r="M753" s="13" t="str" cm="1">
        <f t="array" ref="M753">IF($A753="","",IFERROR(TRANSPOSE(_xlfn._xlws.FILTER(Lokale!$C$3:$C$91,Lokale!$B$3:$B$91=$A753)),""))</f>
        <v/>
      </c>
      <c r="AJ753" s="13" t="str" cm="1">
        <f t="array" ref="AJ753">IF($C753="","",IFERROR(TRANSPOSE(_xlfn._xlws.FILTER(Listy!$D$2:$D$60,Listy!$C$2:$C$60=$C753)),""))</f>
        <v/>
      </c>
    </row>
    <row r="754" spans="7:36" ht="25" customHeight="1" x14ac:dyDescent="0.35">
      <c r="G754" s="15" t="str">
        <f t="shared" si="60"/>
        <v/>
      </c>
      <c r="H754" s="12" t="str">
        <f t="shared" ca="1" si="61"/>
        <v/>
      </c>
      <c r="I754" s="14"/>
      <c r="J754" s="1" t="str">
        <f>IF(COUNTA(A754:F3041)=0,"",IF(#REF!="","BRAK PROTOKOŁU","DODANY"))</f>
        <v/>
      </c>
      <c r="K754" s="1"/>
      <c r="M754" s="13" t="str" cm="1">
        <f t="array" ref="M754">IF($A754="","",IFERROR(TRANSPOSE(_xlfn._xlws.FILTER(Lokale!$C$3:$C$91,Lokale!$B$3:$B$91=$A754)),""))</f>
        <v/>
      </c>
      <c r="AJ754" s="13" t="str" cm="1">
        <f t="array" ref="AJ754">IF($C754="","",IFERROR(TRANSPOSE(_xlfn._xlws.FILTER(Listy!$D$2:$D$60,Listy!$C$2:$C$60=$C754)),""))</f>
        <v/>
      </c>
    </row>
    <row r="755" spans="7:36" ht="25" customHeight="1" x14ac:dyDescent="0.35">
      <c r="G755" s="15" t="str">
        <f t="shared" si="60"/>
        <v/>
      </c>
      <c r="H755" s="12" t="str">
        <f t="shared" ca="1" si="61"/>
        <v/>
      </c>
      <c r="I755" s="14"/>
      <c r="J755" s="1" t="str">
        <f>IF(COUNTA(A755:F3042)=0,"",IF(#REF!="","BRAK PROTOKOŁU","DODANY"))</f>
        <v/>
      </c>
      <c r="K755" s="1"/>
      <c r="M755" s="13" t="str" cm="1">
        <f t="array" ref="M755">IF($A755="","",IFERROR(TRANSPOSE(_xlfn._xlws.FILTER(Lokale!$C$3:$C$91,Lokale!$B$3:$B$91=$A755)),""))</f>
        <v/>
      </c>
      <c r="AJ755" s="13" t="str" cm="1">
        <f t="array" ref="AJ755">IF($C755="","",IFERROR(TRANSPOSE(_xlfn._xlws.FILTER(Listy!$D$2:$D$60,Listy!$C$2:$C$60=$C755)),""))</f>
        <v/>
      </c>
    </row>
    <row r="756" spans="7:36" ht="25" customHeight="1" x14ac:dyDescent="0.35">
      <c r="G756" s="15" t="str">
        <f t="shared" si="60"/>
        <v/>
      </c>
      <c r="H756" s="12" t="str">
        <f t="shared" ca="1" si="61"/>
        <v/>
      </c>
      <c r="I756" s="14"/>
      <c r="J756" s="1" t="str">
        <f>IF(COUNTA(A756:F3043)=0,"",IF(#REF!="","BRAK PROTOKOŁU","DODANY"))</f>
        <v/>
      </c>
      <c r="K756" s="1"/>
      <c r="M756" s="13" t="str" cm="1">
        <f t="array" ref="M756">IF($A756="","",IFERROR(TRANSPOSE(_xlfn._xlws.FILTER(Lokale!$C$3:$C$91,Lokale!$B$3:$B$91=$A756)),""))</f>
        <v/>
      </c>
      <c r="AJ756" s="13" t="str" cm="1">
        <f t="array" ref="AJ756">IF($C756="","",IFERROR(TRANSPOSE(_xlfn._xlws.FILTER(Listy!$D$2:$D$60,Listy!$C$2:$C$60=$C756)),""))</f>
        <v/>
      </c>
    </row>
    <row r="757" spans="7:36" ht="25" customHeight="1" x14ac:dyDescent="0.35">
      <c r="G757" s="15" t="str">
        <f t="shared" si="60"/>
        <v/>
      </c>
      <c r="H757" s="12" t="str">
        <f t="shared" ca="1" si="61"/>
        <v/>
      </c>
      <c r="I757" s="14"/>
      <c r="J757" s="1" t="str">
        <f>IF(COUNTA(A757:F3044)=0,"",IF(#REF!="","BRAK PROTOKOŁU","DODANY"))</f>
        <v/>
      </c>
      <c r="K757" s="1"/>
      <c r="M757" s="13" t="str" cm="1">
        <f t="array" ref="M757">IF($A757="","",IFERROR(TRANSPOSE(_xlfn._xlws.FILTER(Lokale!$C$3:$C$91,Lokale!$B$3:$B$91=$A757)),""))</f>
        <v/>
      </c>
      <c r="AJ757" s="13" t="str" cm="1">
        <f t="array" ref="AJ757">IF($C757="","",IFERROR(TRANSPOSE(_xlfn._xlws.FILTER(Listy!$D$2:$D$60,Listy!$C$2:$C$60=$C757)),""))</f>
        <v/>
      </c>
    </row>
    <row r="758" spans="7:36" ht="25" customHeight="1" x14ac:dyDescent="0.35">
      <c r="G758" s="15" t="str">
        <f t="shared" si="60"/>
        <v/>
      </c>
      <c r="H758" s="12" t="str">
        <f t="shared" ca="1" si="61"/>
        <v/>
      </c>
      <c r="I758" s="14"/>
      <c r="J758" s="1" t="str">
        <f>IF(COUNTA(A758:F3045)=0,"",IF(#REF!="","BRAK PROTOKOŁU","DODANY"))</f>
        <v/>
      </c>
      <c r="K758" s="1"/>
      <c r="M758" s="13" t="str" cm="1">
        <f t="array" ref="M758">IF($A758="","",IFERROR(TRANSPOSE(_xlfn._xlws.FILTER(Lokale!$C$3:$C$91,Lokale!$B$3:$B$91=$A758)),""))</f>
        <v/>
      </c>
      <c r="AJ758" s="13" t="str" cm="1">
        <f t="array" ref="AJ758">IF($C758="","",IFERROR(TRANSPOSE(_xlfn._xlws.FILTER(Listy!$D$2:$D$60,Listy!$C$2:$C$60=$C758)),""))</f>
        <v/>
      </c>
    </row>
    <row r="759" spans="7:36" ht="25" customHeight="1" x14ac:dyDescent="0.35">
      <c r="G759" s="15" t="str">
        <f t="shared" si="60"/>
        <v/>
      </c>
      <c r="H759" s="12" t="str">
        <f t="shared" ca="1" si="61"/>
        <v/>
      </c>
      <c r="I759" s="14"/>
      <c r="J759" s="1" t="str">
        <f>IF(COUNTA(A759:F3046)=0,"",IF(#REF!="","BRAK PROTOKOŁU","DODANY"))</f>
        <v/>
      </c>
      <c r="K759" s="1"/>
      <c r="M759" s="13" t="str" cm="1">
        <f t="array" ref="M759">IF($A759="","",IFERROR(TRANSPOSE(_xlfn._xlws.FILTER(Lokale!$C$3:$C$91,Lokale!$B$3:$B$91=$A759)),""))</f>
        <v/>
      </c>
      <c r="AJ759" s="13" t="str" cm="1">
        <f t="array" ref="AJ759">IF($C759="","",IFERROR(TRANSPOSE(_xlfn._xlws.FILTER(Listy!$D$2:$D$60,Listy!$C$2:$C$60=$C759)),""))</f>
        <v/>
      </c>
    </row>
    <row r="760" spans="7:36" ht="25" customHeight="1" x14ac:dyDescent="0.35">
      <c r="G760" s="15" t="str">
        <f t="shared" si="60"/>
        <v/>
      </c>
      <c r="H760" s="12" t="str">
        <f t="shared" ca="1" si="61"/>
        <v/>
      </c>
      <c r="I760" s="14"/>
      <c r="J760" s="1" t="str">
        <f>IF(COUNTA(A760:F3047)=0,"",IF(#REF!="","BRAK PROTOKOŁU","DODANY"))</f>
        <v/>
      </c>
      <c r="K760" s="1"/>
      <c r="M760" s="13" t="str" cm="1">
        <f t="array" ref="M760">IF($A760="","",IFERROR(TRANSPOSE(_xlfn._xlws.FILTER(Lokale!$C$3:$C$91,Lokale!$B$3:$B$91=$A760)),""))</f>
        <v/>
      </c>
      <c r="AJ760" s="13" t="str" cm="1">
        <f t="array" ref="AJ760">IF($C760="","",IFERROR(TRANSPOSE(_xlfn._xlws.FILTER(Listy!$D$2:$D$60,Listy!$C$2:$C$60=$C760)),""))</f>
        <v/>
      </c>
    </row>
    <row r="761" spans="7:36" ht="25" customHeight="1" x14ac:dyDescent="0.35">
      <c r="G761" s="15" t="str">
        <f t="shared" si="60"/>
        <v/>
      </c>
      <c r="H761" s="12" t="str">
        <f t="shared" ca="1" si="61"/>
        <v/>
      </c>
      <c r="I761" s="14"/>
      <c r="J761" s="1" t="str">
        <f>IF(COUNTA(A761:F3048)=0,"",IF(#REF!="","BRAK PROTOKOŁU","DODANY"))</f>
        <v/>
      </c>
      <c r="K761" s="1"/>
      <c r="M761" s="13" t="str" cm="1">
        <f t="array" ref="M761">IF($A761="","",IFERROR(TRANSPOSE(_xlfn._xlws.FILTER(Lokale!$C$3:$C$91,Lokale!$B$3:$B$91=$A761)),""))</f>
        <v/>
      </c>
      <c r="AJ761" s="13" t="str" cm="1">
        <f t="array" ref="AJ761">IF($C761="","",IFERROR(TRANSPOSE(_xlfn._xlws.FILTER(Listy!$D$2:$D$60,Listy!$C$2:$C$60=$C761)),""))</f>
        <v/>
      </c>
    </row>
    <row r="762" spans="7:36" ht="25" customHeight="1" x14ac:dyDescent="0.35">
      <c r="G762" s="15" t="str">
        <f t="shared" si="60"/>
        <v/>
      </c>
      <c r="H762" s="12" t="str">
        <f t="shared" ca="1" si="61"/>
        <v/>
      </c>
      <c r="I762" s="14"/>
      <c r="J762" s="1" t="str">
        <f>IF(COUNTA(A762:F3049)=0,"",IF(#REF!="","BRAK PROTOKOŁU","DODANY"))</f>
        <v/>
      </c>
      <c r="K762" s="1"/>
      <c r="M762" s="13" t="str" cm="1">
        <f t="array" ref="M762">IF($A762="","",IFERROR(TRANSPOSE(_xlfn._xlws.FILTER(Lokale!$C$3:$C$91,Lokale!$B$3:$B$91=$A762)),""))</f>
        <v/>
      </c>
      <c r="AJ762" s="13" t="str" cm="1">
        <f t="array" ref="AJ762">IF($C762="","",IFERROR(TRANSPOSE(_xlfn._xlws.FILTER(Listy!$D$2:$D$60,Listy!$C$2:$C$60=$C762)),""))</f>
        <v/>
      </c>
    </row>
    <row r="763" spans="7:36" ht="25" customHeight="1" x14ac:dyDescent="0.35">
      <c r="G763" s="15" t="str">
        <f t="shared" si="60"/>
        <v/>
      </c>
      <c r="H763" s="12" t="str">
        <f t="shared" ca="1" si="61"/>
        <v/>
      </c>
      <c r="I763" s="14"/>
      <c r="J763" s="1" t="str">
        <f>IF(COUNTA(A763:F3050)=0,"",IF(#REF!="","BRAK PROTOKOŁU","DODANY"))</f>
        <v/>
      </c>
      <c r="K763" s="1"/>
      <c r="M763" s="13" t="str" cm="1">
        <f t="array" ref="M763">IF($A763="","",IFERROR(TRANSPOSE(_xlfn._xlws.FILTER(Lokale!$C$3:$C$91,Lokale!$B$3:$B$91=$A763)),""))</f>
        <v/>
      </c>
      <c r="AJ763" s="13" t="str" cm="1">
        <f t="array" ref="AJ763">IF($C763="","",IFERROR(TRANSPOSE(_xlfn._xlws.FILTER(Listy!$D$2:$D$60,Listy!$C$2:$C$60=$C763)),""))</f>
        <v/>
      </c>
    </row>
    <row r="764" spans="7:36" ht="25" customHeight="1" x14ac:dyDescent="0.35">
      <c r="G764" s="15" t="str">
        <f t="shared" si="60"/>
        <v/>
      </c>
      <c r="H764" s="12" t="str">
        <f t="shared" ca="1" si="61"/>
        <v/>
      </c>
      <c r="I764" s="14"/>
      <c r="J764" s="1" t="str">
        <f>IF(COUNTA(A764:F3051)=0,"",IF(#REF!="","BRAK PROTOKOŁU","DODANY"))</f>
        <v/>
      </c>
      <c r="K764" s="1"/>
      <c r="M764" s="13" t="str" cm="1">
        <f t="array" ref="M764">IF($A764="","",IFERROR(TRANSPOSE(_xlfn._xlws.FILTER(Lokale!$C$3:$C$91,Lokale!$B$3:$B$91=$A764)),""))</f>
        <v/>
      </c>
      <c r="AJ764" s="13" t="str" cm="1">
        <f t="array" ref="AJ764">IF($C764="","",IFERROR(TRANSPOSE(_xlfn._xlws.FILTER(Listy!$D$2:$D$60,Listy!$C$2:$C$60=$C764)),""))</f>
        <v/>
      </c>
    </row>
    <row r="765" spans="7:36" ht="25" customHeight="1" x14ac:dyDescent="0.35">
      <c r="G765" s="15" t="str">
        <f t="shared" si="60"/>
        <v/>
      </c>
      <c r="H765" s="12" t="str">
        <f t="shared" ca="1" si="61"/>
        <v/>
      </c>
      <c r="I765" s="14"/>
      <c r="J765" s="1" t="str">
        <f>IF(COUNTA(A765:F3052)=0,"",IF(#REF!="","BRAK PROTOKOŁU","DODANY"))</f>
        <v/>
      </c>
      <c r="K765" s="1"/>
      <c r="M765" s="13" t="str" cm="1">
        <f t="array" ref="M765">IF($A765="","",IFERROR(TRANSPOSE(_xlfn._xlws.FILTER(Lokale!$C$3:$C$91,Lokale!$B$3:$B$91=$A765)),""))</f>
        <v/>
      </c>
      <c r="AJ765" s="13" t="str" cm="1">
        <f t="array" ref="AJ765">IF($C765="","",IFERROR(TRANSPOSE(_xlfn._xlws.FILTER(Listy!$D$2:$D$60,Listy!$C$2:$C$60=$C765)),""))</f>
        <v/>
      </c>
    </row>
    <row r="766" spans="7:36" ht="25" customHeight="1" x14ac:dyDescent="0.35">
      <c r="G766" s="15" t="str">
        <f t="shared" si="60"/>
        <v/>
      </c>
      <c r="H766" s="12" t="str">
        <f t="shared" ca="1" si="61"/>
        <v/>
      </c>
      <c r="I766" s="14"/>
      <c r="J766" s="1" t="str">
        <f>IF(COUNTA(A766:F3053)=0,"",IF(#REF!="","BRAK PROTOKOŁU","DODANY"))</f>
        <v/>
      </c>
      <c r="K766" s="1"/>
      <c r="M766" s="13" t="str" cm="1">
        <f t="array" ref="M766">IF($A766="","",IFERROR(TRANSPOSE(_xlfn._xlws.FILTER(Lokale!$C$3:$C$91,Lokale!$B$3:$B$91=$A766)),""))</f>
        <v/>
      </c>
      <c r="AJ766" s="13" t="str" cm="1">
        <f t="array" ref="AJ766">IF($C766="","",IFERROR(TRANSPOSE(_xlfn._xlws.FILTER(Listy!$D$2:$D$60,Listy!$C$2:$C$60=$C766)),""))</f>
        <v/>
      </c>
    </row>
    <row r="767" spans="7:36" ht="25" customHeight="1" x14ac:dyDescent="0.35">
      <c r="G767" s="15" t="str">
        <f t="shared" si="60"/>
        <v/>
      </c>
      <c r="H767" s="12" t="str">
        <f t="shared" ca="1" si="61"/>
        <v/>
      </c>
      <c r="I767" s="14"/>
      <c r="J767" s="1" t="str">
        <f>IF(COUNTA(A767:F3054)=0,"",IF(#REF!="","BRAK PROTOKOŁU","DODANY"))</f>
        <v/>
      </c>
      <c r="K767" s="1"/>
      <c r="M767" s="13" t="str" cm="1">
        <f t="array" ref="M767">IF($A767="","",IFERROR(TRANSPOSE(_xlfn._xlws.FILTER(Lokale!$C$3:$C$91,Lokale!$B$3:$B$91=$A767)),""))</f>
        <v/>
      </c>
      <c r="AJ767" s="13" t="str" cm="1">
        <f t="array" ref="AJ767">IF($C767="","",IFERROR(TRANSPOSE(_xlfn._xlws.FILTER(Listy!$D$2:$D$60,Listy!$C$2:$C$60=$C767)),""))</f>
        <v/>
      </c>
    </row>
    <row r="768" spans="7:36" ht="25" customHeight="1" x14ac:dyDescent="0.35">
      <c r="G768" s="15" t="str">
        <f t="shared" si="60"/>
        <v/>
      </c>
      <c r="H768" s="12" t="str">
        <f t="shared" ca="1" si="61"/>
        <v/>
      </c>
      <c r="I768" s="14"/>
      <c r="J768" s="1" t="str">
        <f>IF(COUNTA(A768:F3055)=0,"",IF(#REF!="","BRAK PROTOKOŁU","DODANY"))</f>
        <v/>
      </c>
      <c r="K768" s="1"/>
      <c r="M768" s="13" t="str" cm="1">
        <f t="array" ref="M768">IF($A768="","",IFERROR(TRANSPOSE(_xlfn._xlws.FILTER(Lokale!$C$3:$C$91,Lokale!$B$3:$B$91=$A768)),""))</f>
        <v/>
      </c>
      <c r="AJ768" s="13" t="str" cm="1">
        <f t="array" ref="AJ768">IF($C768="","",IFERROR(TRANSPOSE(_xlfn._xlws.FILTER(Listy!$D$2:$D$60,Listy!$C$2:$C$60=$C768)),""))</f>
        <v/>
      </c>
    </row>
    <row r="769" spans="7:36" ht="25" customHeight="1" x14ac:dyDescent="0.35">
      <c r="G769" s="15" t="str">
        <f t="shared" si="60"/>
        <v/>
      </c>
      <c r="H769" s="12" t="str">
        <f t="shared" ca="1" si="61"/>
        <v/>
      </c>
      <c r="I769" s="14"/>
      <c r="J769" s="1" t="str">
        <f>IF(COUNTA(A769:F3056)=0,"",IF(#REF!="","BRAK PROTOKOŁU","DODANY"))</f>
        <v/>
      </c>
      <c r="K769" s="1"/>
      <c r="M769" s="13" t="str" cm="1">
        <f t="array" ref="M769">IF($A769="","",IFERROR(TRANSPOSE(_xlfn._xlws.FILTER(Lokale!$C$3:$C$91,Lokale!$B$3:$B$91=$A769)),""))</f>
        <v/>
      </c>
      <c r="AJ769" s="13" t="str" cm="1">
        <f t="array" ref="AJ769">IF($C769="","",IFERROR(TRANSPOSE(_xlfn._xlws.FILTER(Listy!$D$2:$D$60,Listy!$C$2:$C$60=$C769)),""))</f>
        <v/>
      </c>
    </row>
    <row r="770" spans="7:36" ht="25" customHeight="1" x14ac:dyDescent="0.35">
      <c r="G770" s="15" t="str">
        <f t="shared" si="60"/>
        <v/>
      </c>
      <c r="H770" s="12" t="str">
        <f t="shared" ca="1" si="61"/>
        <v/>
      </c>
      <c r="I770" s="14"/>
      <c r="J770" s="1" t="str">
        <f>IF(COUNTA(A770:F3057)=0,"",IF(#REF!="","BRAK PROTOKOŁU","DODANY"))</f>
        <v/>
      </c>
      <c r="K770" s="1"/>
      <c r="M770" s="13" t="str" cm="1">
        <f t="array" ref="M770">IF($A770="","",IFERROR(TRANSPOSE(_xlfn._xlws.FILTER(Lokale!$C$3:$C$91,Lokale!$B$3:$B$91=$A770)),""))</f>
        <v/>
      </c>
      <c r="AJ770" s="13" t="str" cm="1">
        <f t="array" ref="AJ770">IF($C770="","",IFERROR(TRANSPOSE(_xlfn._xlws.FILTER(Listy!$D$2:$D$60,Listy!$C$2:$C$60=$C770)),""))</f>
        <v/>
      </c>
    </row>
    <row r="771" spans="7:36" ht="25" customHeight="1" x14ac:dyDescent="0.35">
      <c r="G771" s="15" t="str">
        <f t="shared" si="60"/>
        <v/>
      </c>
      <c r="H771" s="12" t="str">
        <f t="shared" ca="1" si="61"/>
        <v/>
      </c>
      <c r="I771" s="14"/>
      <c r="J771" s="1" t="str">
        <f>IF(COUNTA(A771:F3058)=0,"",IF(#REF!="","BRAK PROTOKOŁU","DODANY"))</f>
        <v/>
      </c>
      <c r="K771" s="1"/>
      <c r="M771" s="13" t="str" cm="1">
        <f t="array" ref="M771">IF($A771="","",IFERROR(TRANSPOSE(_xlfn._xlws.FILTER(Lokale!$C$3:$C$91,Lokale!$B$3:$B$91=$A771)),""))</f>
        <v/>
      </c>
      <c r="AJ771" s="13" t="str" cm="1">
        <f t="array" ref="AJ771">IF($C771="","",IFERROR(TRANSPOSE(_xlfn._xlws.FILTER(Listy!$D$2:$D$60,Listy!$C$2:$C$60=$C771)),""))</f>
        <v/>
      </c>
    </row>
    <row r="772" spans="7:36" ht="25" customHeight="1" x14ac:dyDescent="0.35">
      <c r="G772" s="15" t="str">
        <f t="shared" si="60"/>
        <v/>
      </c>
      <c r="H772" s="12" t="str">
        <f t="shared" ca="1" si="61"/>
        <v/>
      </c>
      <c r="I772" s="14"/>
      <c r="J772" s="1" t="str">
        <f>IF(COUNTA(A772:F3059)=0,"",IF(#REF!="","BRAK PROTOKOŁU","DODANY"))</f>
        <v/>
      </c>
      <c r="K772" s="1"/>
      <c r="M772" s="13" t="str" cm="1">
        <f t="array" ref="M772">IF($A772="","",IFERROR(TRANSPOSE(_xlfn._xlws.FILTER(Lokale!$C$3:$C$91,Lokale!$B$3:$B$91=$A772)),""))</f>
        <v/>
      </c>
      <c r="AJ772" s="13" t="str" cm="1">
        <f t="array" ref="AJ772">IF($C772="","",IFERROR(TRANSPOSE(_xlfn._xlws.FILTER(Listy!$D$2:$D$60,Listy!$C$2:$C$60=$C772)),""))</f>
        <v/>
      </c>
    </row>
    <row r="773" spans="7:36" ht="25" customHeight="1" x14ac:dyDescent="0.35">
      <c r="G773" s="15" t="str">
        <f t="shared" si="60"/>
        <v/>
      </c>
      <c r="H773" s="12" t="str">
        <f t="shared" ca="1" si="61"/>
        <v/>
      </c>
      <c r="I773" s="14"/>
      <c r="J773" s="1" t="str">
        <f>IF(COUNTA(A773:F3060)=0,"",IF(#REF!="","BRAK PROTOKOŁU","DODANY"))</f>
        <v/>
      </c>
      <c r="K773" s="1"/>
      <c r="M773" s="13" t="str" cm="1">
        <f t="array" ref="M773">IF($A773="","",IFERROR(TRANSPOSE(_xlfn._xlws.FILTER(Lokale!$C$3:$C$91,Lokale!$B$3:$B$91=$A773)),""))</f>
        <v/>
      </c>
      <c r="AJ773" s="13" t="str" cm="1">
        <f t="array" ref="AJ773">IF($C773="","",IFERROR(TRANSPOSE(_xlfn._xlws.FILTER(Listy!$D$2:$D$60,Listy!$C$2:$C$60=$C773)),""))</f>
        <v/>
      </c>
    </row>
    <row r="774" spans="7:36" ht="25" customHeight="1" x14ac:dyDescent="0.35">
      <c r="G774" s="15" t="str">
        <f t="shared" si="60"/>
        <v/>
      </c>
      <c r="H774" s="12" t="str">
        <f t="shared" ca="1" si="61"/>
        <v/>
      </c>
      <c r="I774" s="14"/>
      <c r="J774" s="1" t="str">
        <f>IF(COUNTA(A774:F3061)=0,"",IF(#REF!="","BRAK PROTOKOŁU","DODANY"))</f>
        <v/>
      </c>
      <c r="K774" s="1"/>
      <c r="M774" s="13" t="str" cm="1">
        <f t="array" ref="M774">IF($A774="","",IFERROR(TRANSPOSE(_xlfn._xlws.FILTER(Lokale!$C$3:$C$91,Lokale!$B$3:$B$91=$A774)),""))</f>
        <v/>
      </c>
      <c r="AJ774" s="13" t="str" cm="1">
        <f t="array" ref="AJ774">IF($C774="","",IFERROR(TRANSPOSE(_xlfn._xlws.FILTER(Listy!$D$2:$D$60,Listy!$C$2:$C$60=$C774)),""))</f>
        <v/>
      </c>
    </row>
    <row r="775" spans="7:36" ht="25" customHeight="1" x14ac:dyDescent="0.35">
      <c r="G775" s="15" t="str">
        <f t="shared" si="60"/>
        <v/>
      </c>
      <c r="H775" s="12" t="str">
        <f t="shared" ca="1" si="61"/>
        <v/>
      </c>
      <c r="I775" s="14"/>
      <c r="J775" s="1" t="str">
        <f>IF(COUNTA(A775:F3062)=0,"",IF(#REF!="","BRAK PROTOKOŁU","DODANY"))</f>
        <v/>
      </c>
      <c r="K775" s="1"/>
      <c r="M775" s="13" t="str" cm="1">
        <f t="array" ref="M775">IF($A775="","",IFERROR(TRANSPOSE(_xlfn._xlws.FILTER(Lokale!$C$3:$C$91,Lokale!$B$3:$B$91=$A775)),""))</f>
        <v/>
      </c>
      <c r="AJ775" s="13" t="str" cm="1">
        <f t="array" ref="AJ775">IF($C775="","",IFERROR(TRANSPOSE(_xlfn._xlws.FILTER(Listy!$D$2:$D$60,Listy!$C$2:$C$60=$C775)),""))</f>
        <v/>
      </c>
    </row>
    <row r="776" spans="7:36" ht="25" customHeight="1" x14ac:dyDescent="0.35">
      <c r="G776" s="15" t="str">
        <f t="shared" si="60"/>
        <v/>
      </c>
      <c r="H776" s="12" t="str">
        <f t="shared" ca="1" si="61"/>
        <v/>
      </c>
      <c r="I776" s="14"/>
      <c r="J776" s="1" t="str">
        <f>IF(COUNTA(A776:F3063)=0,"",IF(#REF!="","BRAK PROTOKOŁU","DODANY"))</f>
        <v/>
      </c>
      <c r="K776" s="1"/>
      <c r="M776" s="13" t="str" cm="1">
        <f t="array" ref="M776">IF($A776="","",IFERROR(TRANSPOSE(_xlfn._xlws.FILTER(Lokale!$C$3:$C$91,Lokale!$B$3:$B$91=$A776)),""))</f>
        <v/>
      </c>
      <c r="AJ776" s="13" t="str" cm="1">
        <f t="array" ref="AJ776">IF($C776="","",IFERROR(TRANSPOSE(_xlfn._xlws.FILTER(Listy!$D$2:$D$60,Listy!$C$2:$C$60=$C776)),""))</f>
        <v/>
      </c>
    </row>
    <row r="777" spans="7:36" ht="25" customHeight="1" x14ac:dyDescent="0.35">
      <c r="G777" s="15" t="str">
        <f t="shared" si="60"/>
        <v/>
      </c>
      <c r="H777" s="12" t="str">
        <f t="shared" ca="1" si="61"/>
        <v/>
      </c>
      <c r="I777" s="14"/>
      <c r="J777" s="1" t="str">
        <f>IF(COUNTA(A777:F3064)=0,"",IF(#REF!="","BRAK PROTOKOŁU","DODANY"))</f>
        <v/>
      </c>
      <c r="K777" s="1"/>
      <c r="M777" s="13" t="str" cm="1">
        <f t="array" ref="M777">IF($A777="","",IFERROR(TRANSPOSE(_xlfn._xlws.FILTER(Lokale!$C$3:$C$91,Lokale!$B$3:$B$91=$A777)),""))</f>
        <v/>
      </c>
      <c r="AJ777" s="13" t="str" cm="1">
        <f t="array" ref="AJ777">IF($C777="","",IFERROR(TRANSPOSE(_xlfn._xlws.FILTER(Listy!$D$2:$D$60,Listy!$C$2:$C$60=$C777)),""))</f>
        <v/>
      </c>
    </row>
    <row r="778" spans="7:36" ht="25" customHeight="1" x14ac:dyDescent="0.35">
      <c r="G778" s="15" t="str">
        <f t="shared" si="60"/>
        <v/>
      </c>
      <c r="H778" s="12" t="str">
        <f t="shared" ca="1" si="61"/>
        <v/>
      </c>
      <c r="I778" s="14"/>
      <c r="J778" s="1" t="str">
        <f>IF(COUNTA(A778:F3065)=0,"",IF(#REF!="","BRAK PROTOKOŁU","DODANY"))</f>
        <v/>
      </c>
      <c r="K778" s="1"/>
      <c r="M778" s="13" t="str" cm="1">
        <f t="array" ref="M778">IF($A778="","",IFERROR(TRANSPOSE(_xlfn._xlws.FILTER(Lokale!$C$3:$C$91,Lokale!$B$3:$B$91=$A778)),""))</f>
        <v/>
      </c>
      <c r="AJ778" s="13" t="str" cm="1">
        <f t="array" ref="AJ778">IF($C778="","",IFERROR(TRANSPOSE(_xlfn._xlws.FILTER(Listy!$D$2:$D$60,Listy!$C$2:$C$60=$C778)),""))</f>
        <v/>
      </c>
    </row>
    <row r="779" spans="7:36" ht="25" customHeight="1" x14ac:dyDescent="0.35">
      <c r="G779" s="15" t="str">
        <f t="shared" si="60"/>
        <v/>
      </c>
      <c r="H779" s="12" t="str">
        <f t="shared" ca="1" si="61"/>
        <v/>
      </c>
      <c r="I779" s="14"/>
      <c r="J779" s="1" t="str">
        <f>IF(COUNTA(A779:F3066)=0,"",IF(#REF!="","BRAK PROTOKOŁU","DODANY"))</f>
        <v/>
      </c>
      <c r="K779" s="1"/>
      <c r="M779" s="13" t="str" cm="1">
        <f t="array" ref="M779">IF($A779="","",IFERROR(TRANSPOSE(_xlfn._xlws.FILTER(Lokale!$C$3:$C$91,Lokale!$B$3:$B$91=$A779)),""))</f>
        <v/>
      </c>
      <c r="AJ779" s="13" t="str" cm="1">
        <f t="array" ref="AJ779">IF($C779="","",IFERROR(TRANSPOSE(_xlfn._xlws.FILTER(Listy!$D$2:$D$60,Listy!$C$2:$C$60=$C779)),""))</f>
        <v/>
      </c>
    </row>
    <row r="780" spans="7:36" ht="25" customHeight="1" x14ac:dyDescent="0.35">
      <c r="G780" s="15" t="str">
        <f t="shared" si="60"/>
        <v/>
      </c>
      <c r="H780" s="12" t="str">
        <f t="shared" ca="1" si="61"/>
        <v/>
      </c>
      <c r="I780" s="14"/>
      <c r="J780" s="1" t="str">
        <f>IF(COUNTA(A780:F3067)=0,"",IF(#REF!="","BRAK PROTOKOŁU","DODANY"))</f>
        <v/>
      </c>
      <c r="K780" s="1"/>
      <c r="M780" s="13" t="str" cm="1">
        <f t="array" ref="M780">IF($A780="","",IFERROR(TRANSPOSE(_xlfn._xlws.FILTER(Lokale!$C$3:$C$91,Lokale!$B$3:$B$91=$A780)),""))</f>
        <v/>
      </c>
      <c r="AJ780" s="13" t="str" cm="1">
        <f t="array" ref="AJ780">IF($C780="","",IFERROR(TRANSPOSE(_xlfn._xlws.FILTER(Listy!$D$2:$D$60,Listy!$C$2:$C$60=$C780)),""))</f>
        <v/>
      </c>
    </row>
    <row r="781" spans="7:36" ht="25" customHeight="1" x14ac:dyDescent="0.35">
      <c r="G781" s="15" t="str">
        <f t="shared" si="60"/>
        <v/>
      </c>
      <c r="H781" s="12" t="str">
        <f t="shared" ca="1" si="61"/>
        <v/>
      </c>
      <c r="I781" s="14"/>
      <c r="J781" s="1" t="str">
        <f>IF(COUNTA(A781:F3068)=0,"",IF(#REF!="","BRAK PROTOKOŁU","DODANY"))</f>
        <v/>
      </c>
      <c r="K781" s="1"/>
      <c r="M781" s="13" t="str" cm="1">
        <f t="array" ref="M781">IF($A781="","",IFERROR(TRANSPOSE(_xlfn._xlws.FILTER(Lokale!$C$3:$C$91,Lokale!$B$3:$B$91=$A781)),""))</f>
        <v/>
      </c>
      <c r="AJ781" s="13" t="str" cm="1">
        <f t="array" ref="AJ781">IF($C781="","",IFERROR(TRANSPOSE(_xlfn._xlws.FILTER(Listy!$D$2:$D$60,Listy!$C$2:$C$60=$C781)),""))</f>
        <v/>
      </c>
    </row>
    <row r="782" spans="7:36" ht="25" customHeight="1" x14ac:dyDescent="0.35">
      <c r="G782" s="15" t="str">
        <f t="shared" si="60"/>
        <v/>
      </c>
      <c r="H782" s="12" t="str">
        <f t="shared" ca="1" si="61"/>
        <v/>
      </c>
      <c r="I782" s="14"/>
      <c r="J782" s="1" t="str">
        <f>IF(COUNTA(A782:F3069)=0,"",IF(#REF!="","BRAK PROTOKOŁU","DODANY"))</f>
        <v/>
      </c>
      <c r="K782" s="1"/>
      <c r="M782" s="13" t="str" cm="1">
        <f t="array" ref="M782">IF($A782="","",IFERROR(TRANSPOSE(_xlfn._xlws.FILTER(Lokale!$C$3:$C$91,Lokale!$B$3:$B$91=$A782)),""))</f>
        <v/>
      </c>
      <c r="AJ782" s="13" t="str" cm="1">
        <f t="array" ref="AJ782">IF($C782="","",IFERROR(TRANSPOSE(_xlfn._xlws.FILTER(Listy!$D$2:$D$60,Listy!$C$2:$C$60=$C782)),""))</f>
        <v/>
      </c>
    </row>
    <row r="783" spans="7:36" ht="25" customHeight="1" x14ac:dyDescent="0.35">
      <c r="G783" s="15" t="str">
        <f t="shared" si="60"/>
        <v/>
      </c>
      <c r="H783" s="12" t="str">
        <f t="shared" ca="1" si="61"/>
        <v/>
      </c>
      <c r="I783" s="14"/>
      <c r="J783" s="1" t="str">
        <f>IF(COUNTA(A783:F3070)=0,"",IF(#REF!="","BRAK PROTOKOŁU","DODANY"))</f>
        <v/>
      </c>
      <c r="K783" s="1"/>
      <c r="M783" s="13" t="str" cm="1">
        <f t="array" ref="M783">IF($A783="","",IFERROR(TRANSPOSE(_xlfn._xlws.FILTER(Lokale!$C$3:$C$91,Lokale!$B$3:$B$91=$A783)),""))</f>
        <v/>
      </c>
      <c r="AJ783" s="13" t="str" cm="1">
        <f t="array" ref="AJ783">IF($C783="","",IFERROR(TRANSPOSE(_xlfn._xlws.FILTER(Listy!$D$2:$D$60,Listy!$C$2:$C$60=$C783)),""))</f>
        <v/>
      </c>
    </row>
    <row r="784" spans="7:36" ht="25" customHeight="1" x14ac:dyDescent="0.35">
      <c r="G784" s="15" t="str">
        <f t="shared" si="60"/>
        <v/>
      </c>
      <c r="H784" s="12" t="str">
        <f t="shared" ca="1" si="61"/>
        <v/>
      </c>
      <c r="I784" s="14"/>
      <c r="J784" s="1" t="str">
        <f>IF(COUNTA(A784:F3071)=0,"",IF(#REF!="","BRAK PROTOKOŁU","DODANY"))</f>
        <v/>
      </c>
      <c r="K784" s="1"/>
      <c r="M784" s="13" t="str" cm="1">
        <f t="array" ref="M784">IF($A784="","",IFERROR(TRANSPOSE(_xlfn._xlws.FILTER(Lokale!$C$3:$C$91,Lokale!$B$3:$B$91=$A784)),""))</f>
        <v/>
      </c>
      <c r="AJ784" s="13" t="str" cm="1">
        <f t="array" ref="AJ784">IF($C784="","",IFERROR(TRANSPOSE(_xlfn._xlws.FILTER(Listy!$D$2:$D$60,Listy!$C$2:$C$60=$C784)),""))</f>
        <v/>
      </c>
    </row>
    <row r="785" spans="7:36" ht="25" customHeight="1" x14ac:dyDescent="0.35">
      <c r="G785" s="15" t="str">
        <f t="shared" si="60"/>
        <v/>
      </c>
      <c r="H785" s="12" t="str">
        <f t="shared" ca="1" si="61"/>
        <v/>
      </c>
      <c r="I785" s="14"/>
      <c r="J785" s="1" t="str">
        <f>IF(COUNTA(A785:F3072)=0,"",IF(#REF!="","BRAK PROTOKOŁU","DODANY"))</f>
        <v/>
      </c>
      <c r="K785" s="1"/>
      <c r="M785" s="13" t="str" cm="1">
        <f t="array" ref="M785">IF($A785="","",IFERROR(TRANSPOSE(_xlfn._xlws.FILTER(Lokale!$C$3:$C$91,Lokale!$B$3:$B$91=$A785)),""))</f>
        <v/>
      </c>
      <c r="AJ785" s="13" t="str" cm="1">
        <f t="array" ref="AJ785">IF($C785="","",IFERROR(TRANSPOSE(_xlfn._xlws.FILTER(Listy!$D$2:$D$60,Listy!$C$2:$C$60=$C785)),""))</f>
        <v/>
      </c>
    </row>
    <row r="786" spans="7:36" ht="25" customHeight="1" x14ac:dyDescent="0.35">
      <c r="G786" s="15" t="str">
        <f t="shared" si="60"/>
        <v/>
      </c>
      <c r="H786" s="12" t="str">
        <f t="shared" ca="1" si="61"/>
        <v/>
      </c>
      <c r="I786" s="14"/>
      <c r="J786" s="1" t="str">
        <f>IF(COUNTA(A786:F3073)=0,"",IF(#REF!="","BRAK PROTOKOŁU","DODANY"))</f>
        <v/>
      </c>
      <c r="K786" s="1"/>
      <c r="M786" s="13" t="str" cm="1">
        <f t="array" ref="M786">IF($A786="","",IFERROR(TRANSPOSE(_xlfn._xlws.FILTER(Lokale!$C$3:$C$91,Lokale!$B$3:$B$91=$A786)),""))</f>
        <v/>
      </c>
      <c r="AJ786" s="13" t="str" cm="1">
        <f t="array" ref="AJ786">IF($C786="","",IFERROR(TRANSPOSE(_xlfn._xlws.FILTER(Listy!$D$2:$D$60,Listy!$C$2:$C$60=$C786)),""))</f>
        <v/>
      </c>
    </row>
    <row r="787" spans="7:36" ht="25" customHeight="1" x14ac:dyDescent="0.35">
      <c r="G787" s="15" t="str">
        <f t="shared" si="60"/>
        <v/>
      </c>
      <c r="H787" s="12" t="str">
        <f t="shared" ca="1" si="61"/>
        <v/>
      </c>
      <c r="I787" s="14"/>
      <c r="J787" s="1" t="str">
        <f>IF(COUNTA(A787:F3074)=0,"",IF(#REF!="","BRAK PROTOKOŁU","DODANY"))</f>
        <v/>
      </c>
      <c r="K787" s="1"/>
      <c r="M787" s="13" t="str" cm="1">
        <f t="array" ref="M787">IF($A787="","",IFERROR(TRANSPOSE(_xlfn._xlws.FILTER(Lokale!$C$3:$C$91,Lokale!$B$3:$B$91=$A787)),""))</f>
        <v/>
      </c>
      <c r="AJ787" s="13" t="str" cm="1">
        <f t="array" ref="AJ787">IF($C787="","",IFERROR(TRANSPOSE(_xlfn._xlws.FILTER(Listy!$D$2:$D$60,Listy!$C$2:$C$60=$C787)),""))</f>
        <v/>
      </c>
    </row>
    <row r="788" spans="7:36" ht="25" customHeight="1" x14ac:dyDescent="0.35">
      <c r="G788" s="15" t="str">
        <f t="shared" si="60"/>
        <v/>
      </c>
      <c r="H788" s="12" t="str">
        <f t="shared" ca="1" si="61"/>
        <v/>
      </c>
      <c r="I788" s="14"/>
      <c r="J788" s="1" t="str">
        <f>IF(COUNTA(A788:F3075)=0,"",IF(#REF!="","BRAK PROTOKOŁU","DODANY"))</f>
        <v/>
      </c>
      <c r="K788" s="1"/>
      <c r="M788" s="13" t="str" cm="1">
        <f t="array" ref="M788">IF($A788="","",IFERROR(TRANSPOSE(_xlfn._xlws.FILTER(Lokale!$C$3:$C$91,Lokale!$B$3:$B$91=$A788)),""))</f>
        <v/>
      </c>
      <c r="AJ788" s="13" t="str" cm="1">
        <f t="array" ref="AJ788">IF($C788="","",IFERROR(TRANSPOSE(_xlfn._xlws.FILTER(Listy!$D$2:$D$60,Listy!$C$2:$C$60=$C788)),""))</f>
        <v/>
      </c>
    </row>
    <row r="789" spans="7:36" ht="25" customHeight="1" x14ac:dyDescent="0.35">
      <c r="G789" s="15" t="str">
        <f t="shared" si="60"/>
        <v/>
      </c>
      <c r="H789" s="12" t="str">
        <f t="shared" ca="1" si="61"/>
        <v/>
      </c>
      <c r="I789" s="14"/>
      <c r="J789" s="1" t="str">
        <f>IF(COUNTA(A789:F3076)=0,"",IF(#REF!="","BRAK PROTOKOŁU","DODANY"))</f>
        <v/>
      </c>
      <c r="K789" s="1"/>
      <c r="M789" s="13" t="str" cm="1">
        <f t="array" ref="M789">IF($A789="","",IFERROR(TRANSPOSE(_xlfn._xlws.FILTER(Lokale!$C$3:$C$91,Lokale!$B$3:$B$91=$A789)),""))</f>
        <v/>
      </c>
      <c r="AJ789" s="13" t="str" cm="1">
        <f t="array" ref="AJ789">IF($C789="","",IFERROR(TRANSPOSE(_xlfn._xlws.FILTER(Listy!$D$2:$D$60,Listy!$C$2:$C$60=$C789)),""))</f>
        <v/>
      </c>
    </row>
    <row r="790" spans="7:36" ht="25" customHeight="1" x14ac:dyDescent="0.35">
      <c r="G790" s="15" t="str">
        <f t="shared" si="60"/>
        <v/>
      </c>
      <c r="H790" s="12" t="str">
        <f t="shared" ca="1" si="61"/>
        <v/>
      </c>
      <c r="I790" s="14"/>
      <c r="J790" s="1" t="str">
        <f>IF(COUNTA(A790:F3077)=0,"",IF(#REF!="","BRAK PROTOKOŁU","DODANY"))</f>
        <v/>
      </c>
      <c r="K790" s="1"/>
      <c r="M790" s="13" t="str" cm="1">
        <f t="array" ref="M790">IF($A790="","",IFERROR(TRANSPOSE(_xlfn._xlws.FILTER(Lokale!$C$3:$C$91,Lokale!$B$3:$B$91=$A790)),""))</f>
        <v/>
      </c>
      <c r="AJ790" s="13" t="str" cm="1">
        <f t="array" ref="AJ790">IF($C790="","",IFERROR(TRANSPOSE(_xlfn._xlws.FILTER(Listy!$D$2:$D$60,Listy!$C$2:$C$60=$C790)),""))</f>
        <v/>
      </c>
    </row>
    <row r="791" spans="7:36" ht="25" customHeight="1" x14ac:dyDescent="0.35">
      <c r="G791" s="15" t="str">
        <f t="shared" si="60"/>
        <v/>
      </c>
      <c r="H791" s="12" t="str">
        <f t="shared" ca="1" si="61"/>
        <v/>
      </c>
      <c r="I791" s="14"/>
      <c r="J791" s="1" t="str">
        <f>IF(COUNTA(A791:F3078)=0,"",IF(#REF!="","BRAK PROTOKOŁU","DODANY"))</f>
        <v/>
      </c>
      <c r="K791" s="1"/>
      <c r="M791" s="13" t="str" cm="1">
        <f t="array" ref="M791">IF($A791="","",IFERROR(TRANSPOSE(_xlfn._xlws.FILTER(Lokale!$C$3:$C$91,Lokale!$B$3:$B$91=$A791)),""))</f>
        <v/>
      </c>
      <c r="AJ791" s="13" t="str" cm="1">
        <f t="array" ref="AJ791">IF($C791="","",IFERROR(TRANSPOSE(_xlfn._xlws.FILTER(Listy!$D$2:$D$60,Listy!$C$2:$C$60=$C791)),""))</f>
        <v/>
      </c>
    </row>
    <row r="792" spans="7:36" ht="25" customHeight="1" x14ac:dyDescent="0.35">
      <c r="G792" s="15" t="str">
        <f t="shared" si="60"/>
        <v/>
      </c>
      <c r="H792" s="12" t="str">
        <f t="shared" ca="1" si="61"/>
        <v/>
      </c>
      <c r="I792" s="14"/>
      <c r="J792" s="1" t="str">
        <f>IF(COUNTA(A792:F3079)=0,"",IF(#REF!="","BRAK PROTOKOŁU","DODANY"))</f>
        <v/>
      </c>
      <c r="K792" s="1"/>
      <c r="M792" s="13" t="str" cm="1">
        <f t="array" ref="M792">IF($A792="","",IFERROR(TRANSPOSE(_xlfn._xlws.FILTER(Lokale!$C$3:$C$91,Lokale!$B$3:$B$91=$A792)),""))</f>
        <v/>
      </c>
      <c r="AJ792" s="13" t="str" cm="1">
        <f t="array" ref="AJ792">IF($C792="","",IFERROR(TRANSPOSE(_xlfn._xlws.FILTER(Listy!$D$2:$D$60,Listy!$C$2:$C$60=$C792)),""))</f>
        <v/>
      </c>
    </row>
    <row r="793" spans="7:36" ht="25" customHeight="1" x14ac:dyDescent="0.35">
      <c r="G793" s="15" t="str">
        <f t="shared" si="60"/>
        <v/>
      </c>
      <c r="H793" s="12" t="str">
        <f t="shared" ca="1" si="61"/>
        <v/>
      </c>
      <c r="I793" s="14"/>
      <c r="J793" s="1" t="str">
        <f>IF(COUNTA(A793:F3080)=0,"",IF(#REF!="","BRAK PROTOKOŁU","DODANY"))</f>
        <v/>
      </c>
      <c r="K793" s="1"/>
      <c r="M793" s="13" t="str" cm="1">
        <f t="array" ref="M793">IF($A793="","",IFERROR(TRANSPOSE(_xlfn._xlws.FILTER(Lokale!$C$3:$C$91,Lokale!$B$3:$B$91=$A793)),""))</f>
        <v/>
      </c>
      <c r="AJ793" s="13" t="str" cm="1">
        <f t="array" ref="AJ793">IF($C793="","",IFERROR(TRANSPOSE(_xlfn._xlws.FILTER(Listy!$D$2:$D$60,Listy!$C$2:$C$60=$C793)),""))</f>
        <v/>
      </c>
    </row>
    <row r="794" spans="7:36" ht="25" customHeight="1" x14ac:dyDescent="0.35">
      <c r="G794" s="15" t="str">
        <f t="shared" si="60"/>
        <v/>
      </c>
      <c r="H794" s="12" t="str">
        <f t="shared" ca="1" si="61"/>
        <v/>
      </c>
      <c r="I794" s="14"/>
      <c r="J794" s="1" t="str">
        <f>IF(COUNTA(A794:F3081)=0,"",IF(#REF!="","BRAK PROTOKOŁU","DODANY"))</f>
        <v/>
      </c>
      <c r="K794" s="1"/>
      <c r="M794" s="13" t="str" cm="1">
        <f t="array" ref="M794">IF($A794="","",IFERROR(TRANSPOSE(_xlfn._xlws.FILTER(Lokale!$C$3:$C$91,Lokale!$B$3:$B$91=$A794)),""))</f>
        <v/>
      </c>
      <c r="AJ794" s="13" t="str" cm="1">
        <f t="array" ref="AJ794">IF($C794="","",IFERROR(TRANSPOSE(_xlfn._xlws.FILTER(Listy!$D$2:$D$60,Listy!$C$2:$C$60=$C794)),""))</f>
        <v/>
      </c>
    </row>
    <row r="795" spans="7:36" ht="25" customHeight="1" x14ac:dyDescent="0.35">
      <c r="G795" s="15" t="str">
        <f t="shared" si="60"/>
        <v/>
      </c>
      <c r="H795" s="12" t="str">
        <f t="shared" ca="1" si="61"/>
        <v/>
      </c>
      <c r="I795" s="14"/>
      <c r="J795" s="1" t="str">
        <f>IF(COUNTA(A795:F3082)=0,"",IF(#REF!="","BRAK PROTOKOŁU","DODANY"))</f>
        <v/>
      </c>
      <c r="K795" s="1"/>
      <c r="M795" s="13" t="str" cm="1">
        <f t="array" ref="M795">IF($A795="","",IFERROR(TRANSPOSE(_xlfn._xlws.FILTER(Lokale!$C$3:$C$91,Lokale!$B$3:$B$91=$A795)),""))</f>
        <v/>
      </c>
      <c r="AJ795" s="13" t="str" cm="1">
        <f t="array" ref="AJ795">IF($C795="","",IFERROR(TRANSPOSE(_xlfn._xlws.FILTER(Listy!$D$2:$D$60,Listy!$C$2:$C$60=$C795)),""))</f>
        <v/>
      </c>
    </row>
    <row r="796" spans="7:36" ht="25" customHeight="1" x14ac:dyDescent="0.35">
      <c r="G796" s="15" t="str">
        <f t="shared" si="60"/>
        <v/>
      </c>
      <c r="H796" s="12" t="str">
        <f t="shared" ca="1" si="61"/>
        <v/>
      </c>
      <c r="I796" s="14"/>
      <c r="J796" s="1" t="str">
        <f>IF(COUNTA(A796:F3083)=0,"",IF(#REF!="","BRAK PROTOKOŁU","DODANY"))</f>
        <v/>
      </c>
      <c r="K796" s="1"/>
      <c r="M796" s="13" t="str" cm="1">
        <f t="array" ref="M796">IF($A796="","",IFERROR(TRANSPOSE(_xlfn._xlws.FILTER(Lokale!$C$3:$C$91,Lokale!$B$3:$B$91=$A796)),""))</f>
        <v/>
      </c>
      <c r="AJ796" s="13" t="str" cm="1">
        <f t="array" ref="AJ796">IF($C796="","",IFERROR(TRANSPOSE(_xlfn._xlws.FILTER(Listy!$D$2:$D$60,Listy!$C$2:$C$60=$C796)),""))</f>
        <v/>
      </c>
    </row>
    <row r="797" spans="7:36" ht="25" customHeight="1" x14ac:dyDescent="0.35">
      <c r="G797" s="15" t="str">
        <f t="shared" si="60"/>
        <v/>
      </c>
      <c r="H797" s="12" t="str">
        <f t="shared" ca="1" si="61"/>
        <v/>
      </c>
      <c r="I797" s="14"/>
      <c r="J797" s="1" t="str">
        <f>IF(COUNTA(A797:F3084)=0,"",IF(#REF!="","BRAK PROTOKOŁU","DODANY"))</f>
        <v/>
      </c>
      <c r="K797" s="1"/>
      <c r="M797" s="13" t="str" cm="1">
        <f t="array" ref="M797">IF($A797="","",IFERROR(TRANSPOSE(_xlfn._xlws.FILTER(Lokale!$C$3:$C$91,Lokale!$B$3:$B$91=$A797)),""))</f>
        <v/>
      </c>
      <c r="AJ797" s="13" t="str" cm="1">
        <f t="array" ref="AJ797">IF($C797="","",IFERROR(TRANSPOSE(_xlfn._xlws.FILTER(Listy!$D$2:$D$60,Listy!$C$2:$C$60=$C797)),""))</f>
        <v/>
      </c>
    </row>
    <row r="798" spans="7:36" ht="25" customHeight="1" x14ac:dyDescent="0.35">
      <c r="G798" s="15" t="str">
        <f t="shared" si="60"/>
        <v/>
      </c>
      <c r="H798" s="12" t="str">
        <f t="shared" ca="1" si="61"/>
        <v/>
      </c>
      <c r="I798" s="14"/>
      <c r="J798" s="1" t="str">
        <f>IF(COUNTA(A798:F3085)=0,"",IF(#REF!="","BRAK PROTOKOŁU","DODANY"))</f>
        <v/>
      </c>
      <c r="K798" s="1"/>
      <c r="M798" s="13" t="str" cm="1">
        <f t="array" ref="M798">IF($A798="","",IFERROR(TRANSPOSE(_xlfn._xlws.FILTER(Lokale!$C$3:$C$91,Lokale!$B$3:$B$91=$A798)),""))</f>
        <v/>
      </c>
      <c r="AJ798" s="13" t="str" cm="1">
        <f t="array" ref="AJ798">IF($C798="","",IFERROR(TRANSPOSE(_xlfn._xlws.FILTER(Listy!$D$2:$D$60,Listy!$C$2:$C$60=$C798)),""))</f>
        <v/>
      </c>
    </row>
    <row r="799" spans="7:36" ht="25" customHeight="1" x14ac:dyDescent="0.35">
      <c r="G799" s="15" t="str">
        <f t="shared" si="60"/>
        <v/>
      </c>
      <c r="H799" s="12" t="str">
        <f t="shared" ca="1" si="61"/>
        <v/>
      </c>
      <c r="I799" s="14"/>
      <c r="J799" s="1" t="str">
        <f>IF(COUNTA(A799:F3086)=0,"",IF(#REF!="","BRAK PROTOKOŁU","DODANY"))</f>
        <v/>
      </c>
      <c r="K799" s="1"/>
      <c r="M799" s="13" t="str" cm="1">
        <f t="array" ref="M799">IF($A799="","",IFERROR(TRANSPOSE(_xlfn._xlws.FILTER(Lokale!$C$3:$C$91,Lokale!$B$3:$B$91=$A799)),""))</f>
        <v/>
      </c>
      <c r="AJ799" s="13" t="str" cm="1">
        <f t="array" ref="AJ799">IF($C799="","",IFERROR(TRANSPOSE(_xlfn._xlws.FILTER(Listy!$D$2:$D$60,Listy!$C$2:$C$60=$C799)),""))</f>
        <v/>
      </c>
    </row>
    <row r="800" spans="7:36" ht="25" customHeight="1" x14ac:dyDescent="0.35">
      <c r="G800" s="15" t="str">
        <f t="shared" si="60"/>
        <v/>
      </c>
      <c r="H800" s="12" t="str">
        <f t="shared" ca="1" si="61"/>
        <v/>
      </c>
      <c r="I800" s="14"/>
      <c r="J800" s="1" t="str">
        <f>IF(COUNTA(A800:F3087)=0,"",IF(#REF!="","BRAK PROTOKOŁU","DODANY"))</f>
        <v/>
      </c>
      <c r="K800" s="1"/>
      <c r="M800" s="13" t="str" cm="1">
        <f t="array" ref="M800">IF($A800="","",IFERROR(TRANSPOSE(_xlfn._xlws.FILTER(Lokale!$C$3:$C$91,Lokale!$B$3:$B$91=$A800)),""))</f>
        <v/>
      </c>
      <c r="AJ800" s="13" t="str" cm="1">
        <f t="array" ref="AJ800">IF($C800="","",IFERROR(TRANSPOSE(_xlfn._xlws.FILTER(Listy!$D$2:$D$60,Listy!$C$2:$C$60=$C800)),""))</f>
        <v/>
      </c>
    </row>
    <row r="801" spans="7:36" ht="25" customHeight="1" x14ac:dyDescent="0.35">
      <c r="G801" s="15" t="str">
        <f t="shared" si="60"/>
        <v/>
      </c>
      <c r="H801" s="12" t="str">
        <f t="shared" ca="1" si="61"/>
        <v/>
      </c>
      <c r="I801" s="14"/>
      <c r="J801" s="1" t="str">
        <f>IF(COUNTA(A801:F3088)=0,"",IF(#REF!="","BRAK PROTOKOŁU","DODANY"))</f>
        <v/>
      </c>
      <c r="K801" s="1"/>
      <c r="M801" s="13" t="str" cm="1">
        <f t="array" ref="M801">IF($A801="","",IFERROR(TRANSPOSE(_xlfn._xlws.FILTER(Lokale!$C$3:$C$91,Lokale!$B$3:$B$91=$A801)),""))</f>
        <v/>
      </c>
      <c r="AJ801" s="13" t="str" cm="1">
        <f t="array" ref="AJ801">IF($C801="","",IFERROR(TRANSPOSE(_xlfn._xlws.FILTER(Listy!$D$2:$D$60,Listy!$C$2:$C$60=$C801)),""))</f>
        <v/>
      </c>
    </row>
    <row r="802" spans="7:36" ht="25" customHeight="1" x14ac:dyDescent="0.35">
      <c r="G802" s="15" t="str">
        <f t="shared" ref="G802:G865" si="62">IF(OR(E802="",F802=""),"",DATE(YEAR(E802),MONTH(E802)+F802,DAY(E802)))</f>
        <v/>
      </c>
      <c r="H802" s="12" t="str">
        <f t="shared" ref="H802:H865" ca="1" si="63">IF(G802="","",IF(G802&lt;TODAY(),"PO TERMINIE",IF(G802&lt;=TODAY()+14,"DO WYKONANIA","OK")))</f>
        <v/>
      </c>
      <c r="I802" s="14"/>
      <c r="J802" s="1" t="str">
        <f>IF(COUNTA(A802:F3089)=0,"",IF(#REF!="","BRAK PROTOKOŁU","DODANY"))</f>
        <v/>
      </c>
      <c r="K802" s="1"/>
      <c r="M802" s="13" t="str" cm="1">
        <f t="array" ref="M802">IF($A802="","",IFERROR(TRANSPOSE(_xlfn._xlws.FILTER(Lokale!$C$3:$C$91,Lokale!$B$3:$B$91=$A802)),""))</f>
        <v/>
      </c>
      <c r="AJ802" s="13" t="str" cm="1">
        <f t="array" ref="AJ802">IF($C802="","",IFERROR(TRANSPOSE(_xlfn._xlws.FILTER(Listy!$D$2:$D$60,Listy!$C$2:$C$60=$C802)),""))</f>
        <v/>
      </c>
    </row>
    <row r="803" spans="7:36" ht="25" customHeight="1" x14ac:dyDescent="0.35">
      <c r="G803" s="15" t="str">
        <f t="shared" si="62"/>
        <v/>
      </c>
      <c r="H803" s="12" t="str">
        <f t="shared" ca="1" si="63"/>
        <v/>
      </c>
      <c r="I803" s="14"/>
      <c r="J803" s="1" t="str">
        <f>IF(COUNTA(A803:F3090)=0,"",IF(#REF!="","BRAK PROTOKOŁU","DODANY"))</f>
        <v/>
      </c>
      <c r="K803" s="1"/>
      <c r="M803" s="13" t="str" cm="1">
        <f t="array" ref="M803">IF($A803="","",IFERROR(TRANSPOSE(_xlfn._xlws.FILTER(Lokale!$C$3:$C$91,Lokale!$B$3:$B$91=$A803)),""))</f>
        <v/>
      </c>
      <c r="AJ803" s="13" t="str" cm="1">
        <f t="array" ref="AJ803">IF($C803="","",IFERROR(TRANSPOSE(_xlfn._xlws.FILTER(Listy!$D$2:$D$60,Listy!$C$2:$C$60=$C803)),""))</f>
        <v/>
      </c>
    </row>
    <row r="804" spans="7:36" ht="25" customHeight="1" x14ac:dyDescent="0.35">
      <c r="G804" s="15" t="str">
        <f t="shared" si="62"/>
        <v/>
      </c>
      <c r="H804" s="12" t="str">
        <f t="shared" ca="1" si="63"/>
        <v/>
      </c>
      <c r="I804" s="14"/>
      <c r="J804" s="1" t="str">
        <f>IF(COUNTA(A804:F3091)=0,"",IF(#REF!="","BRAK PROTOKOŁU","DODANY"))</f>
        <v/>
      </c>
      <c r="K804" s="1"/>
      <c r="M804" s="13" t="str" cm="1">
        <f t="array" ref="M804">IF($A804="","",IFERROR(TRANSPOSE(_xlfn._xlws.FILTER(Lokale!$C$3:$C$91,Lokale!$B$3:$B$91=$A804)),""))</f>
        <v/>
      </c>
      <c r="AJ804" s="13" t="str" cm="1">
        <f t="array" ref="AJ804">IF($C804="","",IFERROR(TRANSPOSE(_xlfn._xlws.FILTER(Listy!$D$2:$D$60,Listy!$C$2:$C$60=$C804)),""))</f>
        <v/>
      </c>
    </row>
    <row r="805" spans="7:36" ht="25" customHeight="1" x14ac:dyDescent="0.35">
      <c r="G805" s="15" t="str">
        <f t="shared" si="62"/>
        <v/>
      </c>
      <c r="H805" s="12" t="str">
        <f t="shared" ca="1" si="63"/>
        <v/>
      </c>
      <c r="I805" s="14"/>
      <c r="J805" s="1" t="str">
        <f>IF(COUNTA(A805:F3092)=0,"",IF(#REF!="","BRAK PROTOKOŁU","DODANY"))</f>
        <v/>
      </c>
      <c r="K805" s="1"/>
      <c r="M805" s="13" t="str" cm="1">
        <f t="array" ref="M805">IF($A805="","",IFERROR(TRANSPOSE(_xlfn._xlws.FILTER(Lokale!$C$3:$C$91,Lokale!$B$3:$B$91=$A805)),""))</f>
        <v/>
      </c>
      <c r="AJ805" s="13" t="str" cm="1">
        <f t="array" ref="AJ805">IF($C805="","",IFERROR(TRANSPOSE(_xlfn._xlws.FILTER(Listy!$D$2:$D$60,Listy!$C$2:$C$60=$C805)),""))</f>
        <v/>
      </c>
    </row>
    <row r="806" spans="7:36" ht="25" customHeight="1" x14ac:dyDescent="0.35">
      <c r="G806" s="15" t="str">
        <f t="shared" si="62"/>
        <v/>
      </c>
      <c r="H806" s="12" t="str">
        <f t="shared" ca="1" si="63"/>
        <v/>
      </c>
      <c r="I806" s="14"/>
      <c r="J806" s="1" t="str">
        <f>IF(COUNTA(A806:F3093)=0,"",IF(#REF!="","BRAK PROTOKOŁU","DODANY"))</f>
        <v/>
      </c>
      <c r="K806" s="1"/>
      <c r="M806" s="13" t="str" cm="1">
        <f t="array" ref="M806">IF($A806="","",IFERROR(TRANSPOSE(_xlfn._xlws.FILTER(Lokale!$C$3:$C$91,Lokale!$B$3:$B$91=$A806)),""))</f>
        <v/>
      </c>
      <c r="AJ806" s="13" t="str" cm="1">
        <f t="array" ref="AJ806">IF($C806="","",IFERROR(TRANSPOSE(_xlfn._xlws.FILTER(Listy!$D$2:$D$60,Listy!$C$2:$C$60=$C806)),""))</f>
        <v/>
      </c>
    </row>
    <row r="807" spans="7:36" ht="25" customHeight="1" x14ac:dyDescent="0.35">
      <c r="G807" s="15" t="str">
        <f t="shared" si="62"/>
        <v/>
      </c>
      <c r="H807" s="12" t="str">
        <f t="shared" ca="1" si="63"/>
        <v/>
      </c>
      <c r="I807" s="14"/>
      <c r="J807" s="1" t="str">
        <f>IF(COUNTA(A807:F3094)=0,"",IF(#REF!="","BRAK PROTOKOŁU","DODANY"))</f>
        <v/>
      </c>
      <c r="K807" s="1"/>
      <c r="M807" s="13" t="str" cm="1">
        <f t="array" ref="M807">IF($A807="","",IFERROR(TRANSPOSE(_xlfn._xlws.FILTER(Lokale!$C$3:$C$91,Lokale!$B$3:$B$91=$A807)),""))</f>
        <v/>
      </c>
      <c r="AJ807" s="13" t="str" cm="1">
        <f t="array" ref="AJ807">IF($C807="","",IFERROR(TRANSPOSE(_xlfn._xlws.FILTER(Listy!$D$2:$D$60,Listy!$C$2:$C$60=$C807)),""))</f>
        <v/>
      </c>
    </row>
    <row r="808" spans="7:36" ht="25" customHeight="1" x14ac:dyDescent="0.35">
      <c r="G808" s="15" t="str">
        <f t="shared" si="62"/>
        <v/>
      </c>
      <c r="H808" s="12" t="str">
        <f t="shared" ca="1" si="63"/>
        <v/>
      </c>
      <c r="I808" s="14"/>
      <c r="J808" s="1" t="str">
        <f>IF(COUNTA(A808:F3095)=0,"",IF(#REF!="","BRAK PROTOKOŁU","DODANY"))</f>
        <v/>
      </c>
      <c r="K808" s="1"/>
      <c r="M808" s="13" t="str" cm="1">
        <f t="array" ref="M808">IF($A808="","",IFERROR(TRANSPOSE(_xlfn._xlws.FILTER(Lokale!$C$3:$C$91,Lokale!$B$3:$B$91=$A808)),""))</f>
        <v/>
      </c>
      <c r="AJ808" s="13" t="str" cm="1">
        <f t="array" ref="AJ808">IF($C808="","",IFERROR(TRANSPOSE(_xlfn._xlws.FILTER(Listy!$D$2:$D$60,Listy!$C$2:$C$60=$C808)),""))</f>
        <v/>
      </c>
    </row>
    <row r="809" spans="7:36" ht="25" customHeight="1" x14ac:dyDescent="0.35">
      <c r="G809" s="15" t="str">
        <f t="shared" si="62"/>
        <v/>
      </c>
      <c r="H809" s="12" t="str">
        <f t="shared" ca="1" si="63"/>
        <v/>
      </c>
      <c r="I809" s="14"/>
      <c r="J809" s="1" t="str">
        <f>IF(COUNTA(A809:F3096)=0,"",IF(#REF!="","BRAK PROTOKOŁU","DODANY"))</f>
        <v/>
      </c>
      <c r="K809" s="1"/>
      <c r="M809" s="13" t="str" cm="1">
        <f t="array" ref="M809">IF($A809="","",IFERROR(TRANSPOSE(_xlfn._xlws.FILTER(Lokale!$C$3:$C$91,Lokale!$B$3:$B$91=$A809)),""))</f>
        <v/>
      </c>
      <c r="AJ809" s="13" t="str" cm="1">
        <f t="array" ref="AJ809">IF($C809="","",IFERROR(TRANSPOSE(_xlfn._xlws.FILTER(Listy!$D$2:$D$60,Listy!$C$2:$C$60=$C809)),""))</f>
        <v/>
      </c>
    </row>
    <row r="810" spans="7:36" ht="25" customHeight="1" x14ac:dyDescent="0.35">
      <c r="G810" s="15" t="str">
        <f t="shared" si="62"/>
        <v/>
      </c>
      <c r="H810" s="12" t="str">
        <f t="shared" ca="1" si="63"/>
        <v/>
      </c>
      <c r="I810" s="14"/>
      <c r="J810" s="1" t="str">
        <f>IF(COUNTA(A810:F3097)=0,"",IF(#REF!="","BRAK PROTOKOŁU","DODANY"))</f>
        <v/>
      </c>
      <c r="K810" s="1"/>
      <c r="M810" s="13" t="str" cm="1">
        <f t="array" ref="M810">IF($A810="","",IFERROR(TRANSPOSE(_xlfn._xlws.FILTER(Lokale!$C$3:$C$91,Lokale!$B$3:$B$91=$A810)),""))</f>
        <v/>
      </c>
      <c r="AJ810" s="13" t="str" cm="1">
        <f t="array" ref="AJ810">IF($C810="","",IFERROR(TRANSPOSE(_xlfn._xlws.FILTER(Listy!$D$2:$D$60,Listy!$C$2:$C$60=$C810)),""))</f>
        <v/>
      </c>
    </row>
    <row r="811" spans="7:36" ht="25" customHeight="1" x14ac:dyDescent="0.35">
      <c r="G811" s="15" t="str">
        <f t="shared" si="62"/>
        <v/>
      </c>
      <c r="H811" s="12" t="str">
        <f t="shared" ca="1" si="63"/>
        <v/>
      </c>
      <c r="I811" s="14"/>
      <c r="J811" s="1" t="str">
        <f>IF(COUNTA(A811:F3098)=0,"",IF(#REF!="","BRAK PROTOKOŁU","DODANY"))</f>
        <v/>
      </c>
      <c r="K811" s="1"/>
      <c r="M811" s="13" t="str" cm="1">
        <f t="array" ref="M811">IF($A811="","",IFERROR(TRANSPOSE(_xlfn._xlws.FILTER(Lokale!$C$3:$C$91,Lokale!$B$3:$B$91=$A811)),""))</f>
        <v/>
      </c>
      <c r="AJ811" s="13" t="str" cm="1">
        <f t="array" ref="AJ811">IF($C811="","",IFERROR(TRANSPOSE(_xlfn._xlws.FILTER(Listy!$D$2:$D$60,Listy!$C$2:$C$60=$C811)),""))</f>
        <v/>
      </c>
    </row>
    <row r="812" spans="7:36" ht="25" customHeight="1" x14ac:dyDescent="0.35">
      <c r="G812" s="15" t="str">
        <f t="shared" si="62"/>
        <v/>
      </c>
      <c r="H812" s="12" t="str">
        <f t="shared" ca="1" si="63"/>
        <v/>
      </c>
      <c r="I812" s="14"/>
      <c r="J812" s="1" t="str">
        <f>IF(COUNTA(A812:F3099)=0,"",IF(#REF!="","BRAK PROTOKOŁU","DODANY"))</f>
        <v/>
      </c>
      <c r="K812" s="1"/>
      <c r="M812" s="13" t="str" cm="1">
        <f t="array" ref="M812">IF($A812="","",IFERROR(TRANSPOSE(_xlfn._xlws.FILTER(Lokale!$C$3:$C$91,Lokale!$B$3:$B$91=$A812)),""))</f>
        <v/>
      </c>
      <c r="AJ812" s="13" t="str" cm="1">
        <f t="array" ref="AJ812">IF($C812="","",IFERROR(TRANSPOSE(_xlfn._xlws.FILTER(Listy!$D$2:$D$60,Listy!$C$2:$C$60=$C812)),""))</f>
        <v/>
      </c>
    </row>
    <row r="813" spans="7:36" ht="25" customHeight="1" x14ac:dyDescent="0.35">
      <c r="G813" s="15" t="str">
        <f t="shared" si="62"/>
        <v/>
      </c>
      <c r="H813" s="12" t="str">
        <f t="shared" ca="1" si="63"/>
        <v/>
      </c>
      <c r="I813" s="14"/>
      <c r="J813" s="1" t="str">
        <f>IF(COUNTA(A813:F3100)=0,"",IF(#REF!="","BRAK PROTOKOŁU","DODANY"))</f>
        <v/>
      </c>
      <c r="K813" s="1"/>
      <c r="M813" s="13" t="str" cm="1">
        <f t="array" ref="M813">IF($A813="","",IFERROR(TRANSPOSE(_xlfn._xlws.FILTER(Lokale!$C$3:$C$91,Lokale!$B$3:$B$91=$A813)),""))</f>
        <v/>
      </c>
      <c r="AJ813" s="13" t="str" cm="1">
        <f t="array" ref="AJ813">IF($C813="","",IFERROR(TRANSPOSE(_xlfn._xlws.FILTER(Listy!$D$2:$D$60,Listy!$C$2:$C$60=$C813)),""))</f>
        <v/>
      </c>
    </row>
    <row r="814" spans="7:36" ht="25" customHeight="1" x14ac:dyDescent="0.35">
      <c r="G814" s="15" t="str">
        <f t="shared" si="62"/>
        <v/>
      </c>
      <c r="H814" s="12" t="str">
        <f t="shared" ca="1" si="63"/>
        <v/>
      </c>
      <c r="I814" s="14"/>
      <c r="J814" s="1" t="str">
        <f>IF(COUNTA(A814:F3101)=0,"",IF(#REF!="","BRAK PROTOKOŁU","DODANY"))</f>
        <v/>
      </c>
      <c r="K814" s="1"/>
      <c r="M814" s="13" t="str" cm="1">
        <f t="array" ref="M814">IF($A814="","",IFERROR(TRANSPOSE(_xlfn._xlws.FILTER(Lokale!$C$3:$C$91,Lokale!$B$3:$B$91=$A814)),""))</f>
        <v/>
      </c>
      <c r="AJ814" s="13" t="str" cm="1">
        <f t="array" ref="AJ814">IF($C814="","",IFERROR(TRANSPOSE(_xlfn._xlws.FILTER(Listy!$D$2:$D$60,Listy!$C$2:$C$60=$C814)),""))</f>
        <v/>
      </c>
    </row>
    <row r="815" spans="7:36" ht="25" customHeight="1" x14ac:dyDescent="0.35">
      <c r="G815" s="15" t="str">
        <f t="shared" si="62"/>
        <v/>
      </c>
      <c r="H815" s="12" t="str">
        <f t="shared" ca="1" si="63"/>
        <v/>
      </c>
      <c r="I815" s="14"/>
      <c r="J815" s="1" t="str">
        <f>IF(COUNTA(A815:F3102)=0,"",IF(#REF!="","BRAK PROTOKOŁU","DODANY"))</f>
        <v/>
      </c>
      <c r="K815" s="1"/>
      <c r="M815" s="13" t="str" cm="1">
        <f t="array" ref="M815">IF($A815="","",IFERROR(TRANSPOSE(_xlfn._xlws.FILTER(Lokale!$C$3:$C$91,Lokale!$B$3:$B$91=$A815)),""))</f>
        <v/>
      </c>
      <c r="AJ815" s="13" t="str" cm="1">
        <f t="array" ref="AJ815">IF($C815="","",IFERROR(TRANSPOSE(_xlfn._xlws.FILTER(Listy!$D$2:$D$60,Listy!$C$2:$C$60=$C815)),""))</f>
        <v/>
      </c>
    </row>
    <row r="816" spans="7:36" ht="25" customHeight="1" x14ac:dyDescent="0.35">
      <c r="G816" s="15" t="str">
        <f t="shared" si="62"/>
        <v/>
      </c>
      <c r="H816" s="12" t="str">
        <f t="shared" ca="1" si="63"/>
        <v/>
      </c>
      <c r="I816" s="14"/>
      <c r="J816" s="1" t="str">
        <f>IF(COUNTA(A816:F3103)=0,"",IF(#REF!="","BRAK PROTOKOŁU","DODANY"))</f>
        <v/>
      </c>
      <c r="K816" s="1"/>
      <c r="M816" s="13" t="str" cm="1">
        <f t="array" ref="M816">IF($A816="","",IFERROR(TRANSPOSE(_xlfn._xlws.FILTER(Lokale!$C$3:$C$91,Lokale!$B$3:$B$91=$A816)),""))</f>
        <v/>
      </c>
      <c r="AJ816" s="13" t="str" cm="1">
        <f t="array" ref="AJ816">IF($C816="","",IFERROR(TRANSPOSE(_xlfn._xlws.FILTER(Listy!$D$2:$D$60,Listy!$C$2:$C$60=$C816)),""))</f>
        <v/>
      </c>
    </row>
    <row r="817" spans="7:36" ht="25" customHeight="1" x14ac:dyDescent="0.35">
      <c r="G817" s="15" t="str">
        <f t="shared" si="62"/>
        <v/>
      </c>
      <c r="H817" s="12" t="str">
        <f t="shared" ca="1" si="63"/>
        <v/>
      </c>
      <c r="I817" s="14"/>
      <c r="J817" s="1" t="str">
        <f>IF(COUNTA(A817:F3104)=0,"",IF(#REF!="","BRAK PROTOKOŁU","DODANY"))</f>
        <v/>
      </c>
      <c r="K817" s="1"/>
      <c r="M817" s="13" t="str" cm="1">
        <f t="array" ref="M817">IF($A817="","",IFERROR(TRANSPOSE(_xlfn._xlws.FILTER(Lokale!$C$3:$C$91,Lokale!$B$3:$B$91=$A817)),""))</f>
        <v/>
      </c>
      <c r="AJ817" s="13" t="str" cm="1">
        <f t="array" ref="AJ817">IF($C817="","",IFERROR(TRANSPOSE(_xlfn._xlws.FILTER(Listy!$D$2:$D$60,Listy!$C$2:$C$60=$C817)),""))</f>
        <v/>
      </c>
    </row>
    <row r="818" spans="7:36" ht="25" customHeight="1" x14ac:dyDescent="0.35">
      <c r="G818" s="15" t="str">
        <f t="shared" si="62"/>
        <v/>
      </c>
      <c r="H818" s="12" t="str">
        <f t="shared" ca="1" si="63"/>
        <v/>
      </c>
      <c r="I818" s="14"/>
      <c r="J818" s="1" t="str">
        <f>IF(COUNTA(A818:F3105)=0,"",IF(#REF!="","BRAK PROTOKOŁU","DODANY"))</f>
        <v/>
      </c>
      <c r="K818" s="1"/>
      <c r="M818" s="13" t="str" cm="1">
        <f t="array" ref="M818">IF($A818="","",IFERROR(TRANSPOSE(_xlfn._xlws.FILTER(Lokale!$C$3:$C$91,Lokale!$B$3:$B$91=$A818)),""))</f>
        <v/>
      </c>
      <c r="AJ818" s="13" t="str" cm="1">
        <f t="array" ref="AJ818">IF($C818="","",IFERROR(TRANSPOSE(_xlfn._xlws.FILTER(Listy!$D$2:$D$60,Listy!$C$2:$C$60=$C818)),""))</f>
        <v/>
      </c>
    </row>
    <row r="819" spans="7:36" ht="25" customHeight="1" x14ac:dyDescent="0.35">
      <c r="G819" s="15" t="str">
        <f t="shared" si="62"/>
        <v/>
      </c>
      <c r="H819" s="12" t="str">
        <f t="shared" ca="1" si="63"/>
        <v/>
      </c>
      <c r="I819" s="14"/>
      <c r="J819" s="1" t="str">
        <f>IF(COUNTA(A819:F3106)=0,"",IF(#REF!="","BRAK PROTOKOŁU","DODANY"))</f>
        <v/>
      </c>
      <c r="K819" s="1"/>
      <c r="M819" s="13" t="str" cm="1">
        <f t="array" ref="M819">IF($A819="","",IFERROR(TRANSPOSE(_xlfn._xlws.FILTER(Lokale!$C$3:$C$91,Lokale!$B$3:$B$91=$A819)),""))</f>
        <v/>
      </c>
      <c r="AJ819" s="13" t="str" cm="1">
        <f t="array" ref="AJ819">IF($C819="","",IFERROR(TRANSPOSE(_xlfn._xlws.FILTER(Listy!$D$2:$D$60,Listy!$C$2:$C$60=$C819)),""))</f>
        <v/>
      </c>
    </row>
    <row r="820" spans="7:36" ht="25" customHeight="1" x14ac:dyDescent="0.35">
      <c r="G820" s="15" t="str">
        <f t="shared" si="62"/>
        <v/>
      </c>
      <c r="H820" s="12" t="str">
        <f t="shared" ca="1" si="63"/>
        <v/>
      </c>
      <c r="I820" s="14"/>
      <c r="J820" s="1" t="str">
        <f>IF(COUNTA(A820:F3107)=0,"",IF(#REF!="","BRAK PROTOKOŁU","DODANY"))</f>
        <v/>
      </c>
      <c r="K820" s="1"/>
      <c r="M820" s="13" t="str" cm="1">
        <f t="array" ref="M820">IF($A820="","",IFERROR(TRANSPOSE(_xlfn._xlws.FILTER(Lokale!$C$3:$C$91,Lokale!$B$3:$B$91=$A820)),""))</f>
        <v/>
      </c>
      <c r="AJ820" s="13" t="str" cm="1">
        <f t="array" ref="AJ820">IF($C820="","",IFERROR(TRANSPOSE(_xlfn._xlws.FILTER(Listy!$D$2:$D$60,Listy!$C$2:$C$60=$C820)),""))</f>
        <v/>
      </c>
    </row>
    <row r="821" spans="7:36" ht="25" customHeight="1" x14ac:dyDescent="0.35">
      <c r="G821" s="15" t="str">
        <f t="shared" si="62"/>
        <v/>
      </c>
      <c r="H821" s="12" t="str">
        <f t="shared" ca="1" si="63"/>
        <v/>
      </c>
      <c r="I821" s="14"/>
      <c r="J821" s="1" t="str">
        <f>IF(COUNTA(A821:F3108)=0,"",IF(#REF!="","BRAK PROTOKOŁU","DODANY"))</f>
        <v/>
      </c>
      <c r="K821" s="1"/>
      <c r="M821" s="13" t="str" cm="1">
        <f t="array" ref="M821">IF($A821="","",IFERROR(TRANSPOSE(_xlfn._xlws.FILTER(Lokale!$C$3:$C$91,Lokale!$B$3:$B$91=$A821)),""))</f>
        <v/>
      </c>
      <c r="AJ821" s="13" t="str" cm="1">
        <f t="array" ref="AJ821">IF($C821="","",IFERROR(TRANSPOSE(_xlfn._xlws.FILTER(Listy!$D$2:$D$60,Listy!$C$2:$C$60=$C821)),""))</f>
        <v/>
      </c>
    </row>
    <row r="822" spans="7:36" ht="25" customHeight="1" x14ac:dyDescent="0.35">
      <c r="G822" s="15" t="str">
        <f t="shared" si="62"/>
        <v/>
      </c>
      <c r="H822" s="12" t="str">
        <f t="shared" ca="1" si="63"/>
        <v/>
      </c>
      <c r="I822" s="14"/>
      <c r="J822" s="1" t="str">
        <f>IF(COUNTA(A822:F3109)=0,"",IF(#REF!="","BRAK PROTOKOŁU","DODANY"))</f>
        <v/>
      </c>
      <c r="K822" s="1"/>
      <c r="M822" s="13" t="str" cm="1">
        <f t="array" ref="M822">IF($A822="","",IFERROR(TRANSPOSE(_xlfn._xlws.FILTER(Lokale!$C$3:$C$91,Lokale!$B$3:$B$91=$A822)),""))</f>
        <v/>
      </c>
      <c r="AJ822" s="13" t="str" cm="1">
        <f t="array" ref="AJ822">IF($C822="","",IFERROR(TRANSPOSE(_xlfn._xlws.FILTER(Listy!$D$2:$D$60,Listy!$C$2:$C$60=$C822)),""))</f>
        <v/>
      </c>
    </row>
    <row r="823" spans="7:36" ht="25" customHeight="1" x14ac:dyDescent="0.35">
      <c r="G823" s="15" t="str">
        <f t="shared" si="62"/>
        <v/>
      </c>
      <c r="H823" s="12" t="str">
        <f t="shared" ca="1" si="63"/>
        <v/>
      </c>
      <c r="I823" s="14"/>
      <c r="J823" s="1" t="str">
        <f>IF(COUNTA(A823:F3110)=0,"",IF(#REF!="","BRAK PROTOKOŁU","DODANY"))</f>
        <v/>
      </c>
      <c r="K823" s="1"/>
      <c r="M823" s="13" t="str" cm="1">
        <f t="array" ref="M823">IF($A823="","",IFERROR(TRANSPOSE(_xlfn._xlws.FILTER(Lokale!$C$3:$C$91,Lokale!$B$3:$B$91=$A823)),""))</f>
        <v/>
      </c>
      <c r="AJ823" s="13" t="str" cm="1">
        <f t="array" ref="AJ823">IF($C823="","",IFERROR(TRANSPOSE(_xlfn._xlws.FILTER(Listy!$D$2:$D$60,Listy!$C$2:$C$60=$C823)),""))</f>
        <v/>
      </c>
    </row>
    <row r="824" spans="7:36" ht="25" customHeight="1" x14ac:dyDescent="0.35">
      <c r="G824" s="15" t="str">
        <f t="shared" si="62"/>
        <v/>
      </c>
      <c r="H824" s="12" t="str">
        <f t="shared" ca="1" si="63"/>
        <v/>
      </c>
      <c r="I824" s="14"/>
      <c r="J824" s="1" t="str">
        <f>IF(COUNTA(A824:F3111)=0,"",IF(#REF!="","BRAK PROTOKOŁU","DODANY"))</f>
        <v/>
      </c>
      <c r="K824" s="1"/>
      <c r="M824" s="13" t="str" cm="1">
        <f t="array" ref="M824">IF($A824="","",IFERROR(TRANSPOSE(_xlfn._xlws.FILTER(Lokale!$C$3:$C$91,Lokale!$B$3:$B$91=$A824)),""))</f>
        <v/>
      </c>
      <c r="AJ824" s="13" t="str" cm="1">
        <f t="array" ref="AJ824">IF($C824="","",IFERROR(TRANSPOSE(_xlfn._xlws.FILTER(Listy!$D$2:$D$60,Listy!$C$2:$C$60=$C824)),""))</f>
        <v/>
      </c>
    </row>
    <row r="825" spans="7:36" ht="25" customHeight="1" x14ac:dyDescent="0.35">
      <c r="G825" s="15" t="str">
        <f t="shared" si="62"/>
        <v/>
      </c>
      <c r="H825" s="12" t="str">
        <f t="shared" ca="1" si="63"/>
        <v/>
      </c>
      <c r="I825" s="14"/>
      <c r="J825" s="1" t="str">
        <f>IF(COUNTA(A825:F3112)=0,"",IF(#REF!="","BRAK PROTOKOŁU","DODANY"))</f>
        <v/>
      </c>
      <c r="K825" s="1"/>
      <c r="M825" s="13" t="str" cm="1">
        <f t="array" ref="M825">IF($A825="","",IFERROR(TRANSPOSE(_xlfn._xlws.FILTER(Lokale!$C$3:$C$91,Lokale!$B$3:$B$91=$A825)),""))</f>
        <v/>
      </c>
      <c r="AJ825" s="13" t="str" cm="1">
        <f t="array" ref="AJ825">IF($C825="","",IFERROR(TRANSPOSE(_xlfn._xlws.FILTER(Listy!$D$2:$D$60,Listy!$C$2:$C$60=$C825)),""))</f>
        <v/>
      </c>
    </row>
    <row r="826" spans="7:36" ht="25" customHeight="1" x14ac:dyDescent="0.35">
      <c r="G826" s="15" t="str">
        <f t="shared" si="62"/>
        <v/>
      </c>
      <c r="H826" s="12" t="str">
        <f t="shared" ca="1" si="63"/>
        <v/>
      </c>
      <c r="I826" s="14"/>
      <c r="J826" s="1" t="str">
        <f>IF(COUNTA(A826:F3113)=0,"",IF(#REF!="","BRAK PROTOKOŁU","DODANY"))</f>
        <v/>
      </c>
      <c r="K826" s="1"/>
      <c r="M826" s="13" t="str" cm="1">
        <f t="array" ref="M826">IF($A826="","",IFERROR(TRANSPOSE(_xlfn._xlws.FILTER(Lokale!$C$3:$C$91,Lokale!$B$3:$B$91=$A826)),""))</f>
        <v/>
      </c>
      <c r="AJ826" s="13" t="str" cm="1">
        <f t="array" ref="AJ826">IF($C826="","",IFERROR(TRANSPOSE(_xlfn._xlws.FILTER(Listy!$D$2:$D$60,Listy!$C$2:$C$60=$C826)),""))</f>
        <v/>
      </c>
    </row>
    <row r="827" spans="7:36" ht="25" customHeight="1" x14ac:dyDescent="0.35">
      <c r="G827" s="15" t="str">
        <f t="shared" si="62"/>
        <v/>
      </c>
      <c r="H827" s="12" t="str">
        <f t="shared" ca="1" si="63"/>
        <v/>
      </c>
      <c r="I827" s="14"/>
      <c r="J827" s="1" t="str">
        <f>IF(COUNTA(A827:F3114)=0,"",IF(#REF!="","BRAK PROTOKOŁU","DODANY"))</f>
        <v/>
      </c>
      <c r="K827" s="1"/>
      <c r="M827" s="13" t="str" cm="1">
        <f t="array" ref="M827">IF($A827="","",IFERROR(TRANSPOSE(_xlfn._xlws.FILTER(Lokale!$C$3:$C$91,Lokale!$B$3:$B$91=$A827)),""))</f>
        <v/>
      </c>
      <c r="AJ827" s="13" t="str" cm="1">
        <f t="array" ref="AJ827">IF($C827="","",IFERROR(TRANSPOSE(_xlfn._xlws.FILTER(Listy!$D$2:$D$60,Listy!$C$2:$C$60=$C827)),""))</f>
        <v/>
      </c>
    </row>
    <row r="828" spans="7:36" ht="25" customHeight="1" x14ac:dyDescent="0.35">
      <c r="G828" s="15" t="str">
        <f t="shared" si="62"/>
        <v/>
      </c>
      <c r="H828" s="12" t="str">
        <f t="shared" ca="1" si="63"/>
        <v/>
      </c>
      <c r="I828" s="14"/>
      <c r="J828" s="1" t="str">
        <f>IF(COUNTA(A828:F3115)=0,"",IF(#REF!="","BRAK PROTOKOŁU","DODANY"))</f>
        <v/>
      </c>
      <c r="K828" s="1"/>
      <c r="M828" s="13" t="str" cm="1">
        <f t="array" ref="M828">IF($A828="","",IFERROR(TRANSPOSE(_xlfn._xlws.FILTER(Lokale!$C$3:$C$91,Lokale!$B$3:$B$91=$A828)),""))</f>
        <v/>
      </c>
      <c r="AJ828" s="13" t="str" cm="1">
        <f t="array" ref="AJ828">IF($C828="","",IFERROR(TRANSPOSE(_xlfn._xlws.FILTER(Listy!$D$2:$D$60,Listy!$C$2:$C$60=$C828)),""))</f>
        <v/>
      </c>
    </row>
    <row r="829" spans="7:36" ht="25" customHeight="1" x14ac:dyDescent="0.35">
      <c r="G829" s="15" t="str">
        <f t="shared" si="62"/>
        <v/>
      </c>
      <c r="H829" s="12" t="str">
        <f t="shared" ca="1" si="63"/>
        <v/>
      </c>
      <c r="I829" s="14"/>
      <c r="J829" s="1" t="str">
        <f>IF(COUNTA(A829:F3116)=0,"",IF(#REF!="","BRAK PROTOKOŁU","DODANY"))</f>
        <v/>
      </c>
      <c r="K829" s="1"/>
      <c r="M829" s="13" t="str" cm="1">
        <f t="array" ref="M829">IF($A829="","",IFERROR(TRANSPOSE(_xlfn._xlws.FILTER(Lokale!$C$3:$C$91,Lokale!$B$3:$B$91=$A829)),""))</f>
        <v/>
      </c>
      <c r="AJ829" s="13" t="str" cm="1">
        <f t="array" ref="AJ829">IF($C829="","",IFERROR(TRANSPOSE(_xlfn._xlws.FILTER(Listy!$D$2:$D$60,Listy!$C$2:$C$60=$C829)),""))</f>
        <v/>
      </c>
    </row>
    <row r="830" spans="7:36" ht="25" customHeight="1" x14ac:dyDescent="0.35">
      <c r="G830" s="15" t="str">
        <f t="shared" si="62"/>
        <v/>
      </c>
      <c r="H830" s="12" t="str">
        <f t="shared" ca="1" si="63"/>
        <v/>
      </c>
      <c r="I830" s="14"/>
      <c r="J830" s="1" t="str">
        <f>IF(COUNTA(A830:F3117)=0,"",IF(#REF!="","BRAK PROTOKOŁU","DODANY"))</f>
        <v/>
      </c>
      <c r="K830" s="1"/>
      <c r="M830" s="13" t="str" cm="1">
        <f t="array" ref="M830">IF($A830="","",IFERROR(TRANSPOSE(_xlfn._xlws.FILTER(Lokale!$C$3:$C$91,Lokale!$B$3:$B$91=$A830)),""))</f>
        <v/>
      </c>
      <c r="AJ830" s="13" t="str" cm="1">
        <f t="array" ref="AJ830">IF($C830="","",IFERROR(TRANSPOSE(_xlfn._xlws.FILTER(Listy!$D$2:$D$60,Listy!$C$2:$C$60=$C830)),""))</f>
        <v/>
      </c>
    </row>
    <row r="831" spans="7:36" ht="25" customHeight="1" x14ac:dyDescent="0.35">
      <c r="G831" s="15" t="str">
        <f t="shared" si="62"/>
        <v/>
      </c>
      <c r="H831" s="12" t="str">
        <f t="shared" ca="1" si="63"/>
        <v/>
      </c>
      <c r="I831" s="14"/>
      <c r="J831" s="1" t="str">
        <f>IF(COUNTA(A831:F3118)=0,"",IF(#REF!="","BRAK PROTOKOŁU","DODANY"))</f>
        <v/>
      </c>
      <c r="K831" s="1"/>
      <c r="M831" s="13" t="str" cm="1">
        <f t="array" ref="M831">IF($A831="","",IFERROR(TRANSPOSE(_xlfn._xlws.FILTER(Lokale!$C$3:$C$91,Lokale!$B$3:$B$91=$A831)),""))</f>
        <v/>
      </c>
      <c r="AJ831" s="13" t="str" cm="1">
        <f t="array" ref="AJ831">IF($C831="","",IFERROR(TRANSPOSE(_xlfn._xlws.FILTER(Listy!$D$2:$D$60,Listy!$C$2:$C$60=$C831)),""))</f>
        <v/>
      </c>
    </row>
    <row r="832" spans="7:36" ht="25" customHeight="1" x14ac:dyDescent="0.35">
      <c r="G832" s="15" t="str">
        <f t="shared" si="62"/>
        <v/>
      </c>
      <c r="H832" s="12" t="str">
        <f t="shared" ca="1" si="63"/>
        <v/>
      </c>
      <c r="I832" s="14"/>
      <c r="J832" s="1" t="str">
        <f>IF(COUNTA(A832:F3119)=0,"",IF(#REF!="","BRAK PROTOKOŁU","DODANY"))</f>
        <v/>
      </c>
      <c r="K832" s="1"/>
      <c r="M832" s="13" t="str" cm="1">
        <f t="array" ref="M832">IF($A832="","",IFERROR(TRANSPOSE(_xlfn._xlws.FILTER(Lokale!$C$3:$C$91,Lokale!$B$3:$B$91=$A832)),""))</f>
        <v/>
      </c>
      <c r="AJ832" s="13" t="str" cm="1">
        <f t="array" ref="AJ832">IF($C832="","",IFERROR(TRANSPOSE(_xlfn._xlws.FILTER(Listy!$D$2:$D$60,Listy!$C$2:$C$60=$C832)),""))</f>
        <v/>
      </c>
    </row>
    <row r="833" spans="7:36" ht="25" customHeight="1" x14ac:dyDescent="0.35">
      <c r="G833" s="15" t="str">
        <f t="shared" si="62"/>
        <v/>
      </c>
      <c r="H833" s="12" t="str">
        <f t="shared" ca="1" si="63"/>
        <v/>
      </c>
      <c r="I833" s="14"/>
      <c r="J833" s="1" t="str">
        <f>IF(COUNTA(A833:F3120)=0,"",IF(#REF!="","BRAK PROTOKOŁU","DODANY"))</f>
        <v/>
      </c>
      <c r="K833" s="1"/>
      <c r="M833" s="13" t="str" cm="1">
        <f t="array" ref="M833">IF($A833="","",IFERROR(TRANSPOSE(_xlfn._xlws.FILTER(Lokale!$C$3:$C$91,Lokale!$B$3:$B$91=$A833)),""))</f>
        <v/>
      </c>
      <c r="AJ833" s="13" t="str" cm="1">
        <f t="array" ref="AJ833">IF($C833="","",IFERROR(TRANSPOSE(_xlfn._xlws.FILTER(Listy!$D$2:$D$60,Listy!$C$2:$C$60=$C833)),""))</f>
        <v/>
      </c>
    </row>
    <row r="834" spans="7:36" ht="25" customHeight="1" x14ac:dyDescent="0.35">
      <c r="G834" s="15" t="str">
        <f t="shared" si="62"/>
        <v/>
      </c>
      <c r="H834" s="12" t="str">
        <f t="shared" ca="1" si="63"/>
        <v/>
      </c>
      <c r="I834" s="14"/>
      <c r="J834" s="1" t="str">
        <f>IF(COUNTA(A834:F3121)=0,"",IF(#REF!="","BRAK PROTOKOŁU","DODANY"))</f>
        <v/>
      </c>
      <c r="K834" s="1"/>
      <c r="M834" s="13" t="str" cm="1">
        <f t="array" ref="M834">IF($A834="","",IFERROR(TRANSPOSE(_xlfn._xlws.FILTER(Lokale!$C$3:$C$91,Lokale!$B$3:$B$91=$A834)),""))</f>
        <v/>
      </c>
      <c r="AJ834" s="13" t="str" cm="1">
        <f t="array" ref="AJ834">IF($C834="","",IFERROR(TRANSPOSE(_xlfn._xlws.FILTER(Listy!$D$2:$D$60,Listy!$C$2:$C$60=$C834)),""))</f>
        <v/>
      </c>
    </row>
    <row r="835" spans="7:36" ht="25" customHeight="1" x14ac:dyDescent="0.35">
      <c r="G835" s="15" t="str">
        <f t="shared" si="62"/>
        <v/>
      </c>
      <c r="H835" s="12" t="str">
        <f t="shared" ca="1" si="63"/>
        <v/>
      </c>
      <c r="I835" s="14"/>
      <c r="J835" s="1" t="str">
        <f>IF(COUNTA(A835:F3122)=0,"",IF(#REF!="","BRAK PROTOKOŁU","DODANY"))</f>
        <v/>
      </c>
      <c r="K835" s="1"/>
      <c r="M835" s="13" t="str" cm="1">
        <f t="array" ref="M835">IF($A835="","",IFERROR(TRANSPOSE(_xlfn._xlws.FILTER(Lokale!$C$3:$C$91,Lokale!$B$3:$B$91=$A835)),""))</f>
        <v/>
      </c>
      <c r="AJ835" s="13" t="str" cm="1">
        <f t="array" ref="AJ835">IF($C835="","",IFERROR(TRANSPOSE(_xlfn._xlws.FILTER(Listy!$D$2:$D$60,Listy!$C$2:$C$60=$C835)),""))</f>
        <v/>
      </c>
    </row>
    <row r="836" spans="7:36" ht="25" customHeight="1" x14ac:dyDescent="0.35">
      <c r="G836" s="15" t="str">
        <f t="shared" si="62"/>
        <v/>
      </c>
      <c r="H836" s="12" t="str">
        <f t="shared" ca="1" si="63"/>
        <v/>
      </c>
      <c r="I836" s="14"/>
      <c r="J836" s="1" t="str">
        <f>IF(COUNTA(A836:F3123)=0,"",IF(#REF!="","BRAK PROTOKOŁU","DODANY"))</f>
        <v/>
      </c>
      <c r="K836" s="1"/>
      <c r="M836" s="13" t="str" cm="1">
        <f t="array" ref="M836">IF($A836="","",IFERROR(TRANSPOSE(_xlfn._xlws.FILTER(Lokale!$C$3:$C$91,Lokale!$B$3:$B$91=$A836)),""))</f>
        <v/>
      </c>
      <c r="AJ836" s="13" t="str" cm="1">
        <f t="array" ref="AJ836">IF($C836="","",IFERROR(TRANSPOSE(_xlfn._xlws.FILTER(Listy!$D$2:$D$60,Listy!$C$2:$C$60=$C836)),""))</f>
        <v/>
      </c>
    </row>
    <row r="837" spans="7:36" ht="25" customHeight="1" x14ac:dyDescent="0.35">
      <c r="G837" s="15" t="str">
        <f t="shared" si="62"/>
        <v/>
      </c>
      <c r="H837" s="12" t="str">
        <f t="shared" ca="1" si="63"/>
        <v/>
      </c>
      <c r="I837" s="14"/>
      <c r="J837" s="1" t="str">
        <f>IF(COUNTA(A837:F3124)=0,"",IF(#REF!="","BRAK PROTOKOŁU","DODANY"))</f>
        <v/>
      </c>
      <c r="K837" s="1"/>
      <c r="M837" s="13" t="str" cm="1">
        <f t="array" ref="M837">IF($A837="","",IFERROR(TRANSPOSE(_xlfn._xlws.FILTER(Lokale!$C$3:$C$91,Lokale!$B$3:$B$91=$A837)),""))</f>
        <v/>
      </c>
      <c r="AJ837" s="13" t="str" cm="1">
        <f t="array" ref="AJ837">IF($C837="","",IFERROR(TRANSPOSE(_xlfn._xlws.FILTER(Listy!$D$2:$D$60,Listy!$C$2:$C$60=$C837)),""))</f>
        <v/>
      </c>
    </row>
    <row r="838" spans="7:36" ht="25" customHeight="1" x14ac:dyDescent="0.35">
      <c r="G838" s="15" t="str">
        <f t="shared" si="62"/>
        <v/>
      </c>
      <c r="H838" s="12" t="str">
        <f t="shared" ca="1" si="63"/>
        <v/>
      </c>
      <c r="I838" s="14"/>
      <c r="J838" s="1" t="str">
        <f>IF(COUNTA(A838:F3125)=0,"",IF(#REF!="","BRAK PROTOKOŁU","DODANY"))</f>
        <v/>
      </c>
      <c r="K838" s="1"/>
      <c r="M838" s="13" t="str" cm="1">
        <f t="array" ref="M838">IF($A838="","",IFERROR(TRANSPOSE(_xlfn._xlws.FILTER(Lokale!$C$3:$C$91,Lokale!$B$3:$B$91=$A838)),""))</f>
        <v/>
      </c>
      <c r="AJ838" s="13" t="str" cm="1">
        <f t="array" ref="AJ838">IF($C838="","",IFERROR(TRANSPOSE(_xlfn._xlws.FILTER(Listy!$D$2:$D$60,Listy!$C$2:$C$60=$C838)),""))</f>
        <v/>
      </c>
    </row>
    <row r="839" spans="7:36" ht="25" customHeight="1" x14ac:dyDescent="0.35">
      <c r="G839" s="15" t="str">
        <f t="shared" si="62"/>
        <v/>
      </c>
      <c r="H839" s="12" t="str">
        <f t="shared" ca="1" si="63"/>
        <v/>
      </c>
      <c r="I839" s="14"/>
      <c r="J839" s="1" t="str">
        <f>IF(COUNTA(A839:F3126)=0,"",IF(#REF!="","BRAK PROTOKOŁU","DODANY"))</f>
        <v/>
      </c>
      <c r="K839" s="1"/>
      <c r="M839" s="13" t="str" cm="1">
        <f t="array" ref="M839">IF($A839="","",IFERROR(TRANSPOSE(_xlfn._xlws.FILTER(Lokale!$C$3:$C$91,Lokale!$B$3:$B$91=$A839)),""))</f>
        <v/>
      </c>
      <c r="AJ839" s="13" t="str" cm="1">
        <f t="array" ref="AJ839">IF($C839="","",IFERROR(TRANSPOSE(_xlfn._xlws.FILTER(Listy!$D$2:$D$60,Listy!$C$2:$C$60=$C839)),""))</f>
        <v/>
      </c>
    </row>
    <row r="840" spans="7:36" ht="25" customHeight="1" x14ac:dyDescent="0.35">
      <c r="G840" s="15" t="str">
        <f t="shared" si="62"/>
        <v/>
      </c>
      <c r="H840" s="12" t="str">
        <f t="shared" ca="1" si="63"/>
        <v/>
      </c>
      <c r="I840" s="14"/>
      <c r="J840" s="1" t="str">
        <f>IF(COUNTA(A840:F3127)=0,"",IF(#REF!="","BRAK PROTOKOŁU","DODANY"))</f>
        <v/>
      </c>
      <c r="K840" s="1"/>
      <c r="M840" s="13" t="str" cm="1">
        <f t="array" ref="M840">IF($A840="","",IFERROR(TRANSPOSE(_xlfn._xlws.FILTER(Lokale!$C$3:$C$91,Lokale!$B$3:$B$91=$A840)),""))</f>
        <v/>
      </c>
      <c r="AJ840" s="13" t="str" cm="1">
        <f t="array" ref="AJ840">IF($C840="","",IFERROR(TRANSPOSE(_xlfn._xlws.FILTER(Listy!$D$2:$D$60,Listy!$C$2:$C$60=$C840)),""))</f>
        <v/>
      </c>
    </row>
    <row r="841" spans="7:36" ht="25" customHeight="1" x14ac:dyDescent="0.35">
      <c r="G841" s="15" t="str">
        <f t="shared" si="62"/>
        <v/>
      </c>
      <c r="H841" s="12" t="str">
        <f t="shared" ca="1" si="63"/>
        <v/>
      </c>
      <c r="I841" s="14"/>
      <c r="J841" s="1" t="str">
        <f>IF(COUNTA(A841:F3128)=0,"",IF(#REF!="","BRAK PROTOKOŁU","DODANY"))</f>
        <v/>
      </c>
      <c r="K841" s="1"/>
      <c r="M841" s="13" t="str" cm="1">
        <f t="array" ref="M841">IF($A841="","",IFERROR(TRANSPOSE(_xlfn._xlws.FILTER(Lokale!$C$3:$C$91,Lokale!$B$3:$B$91=$A841)),""))</f>
        <v/>
      </c>
      <c r="AJ841" s="13" t="str" cm="1">
        <f t="array" ref="AJ841">IF($C841="","",IFERROR(TRANSPOSE(_xlfn._xlws.FILTER(Listy!$D$2:$D$60,Listy!$C$2:$C$60=$C841)),""))</f>
        <v/>
      </c>
    </row>
    <row r="842" spans="7:36" ht="25" customHeight="1" x14ac:dyDescent="0.35">
      <c r="G842" s="15" t="str">
        <f t="shared" si="62"/>
        <v/>
      </c>
      <c r="H842" s="12" t="str">
        <f t="shared" ca="1" si="63"/>
        <v/>
      </c>
      <c r="I842" s="14"/>
      <c r="J842" s="1" t="str">
        <f>IF(COUNTA(A842:F3129)=0,"",IF(#REF!="","BRAK PROTOKOŁU","DODANY"))</f>
        <v/>
      </c>
      <c r="K842" s="1"/>
      <c r="M842" s="13" t="str" cm="1">
        <f t="array" ref="M842">IF($A842="","",IFERROR(TRANSPOSE(_xlfn._xlws.FILTER(Lokale!$C$3:$C$91,Lokale!$B$3:$B$91=$A842)),""))</f>
        <v/>
      </c>
      <c r="AJ842" s="13" t="str" cm="1">
        <f t="array" ref="AJ842">IF($C842="","",IFERROR(TRANSPOSE(_xlfn._xlws.FILTER(Listy!$D$2:$D$60,Listy!$C$2:$C$60=$C842)),""))</f>
        <v/>
      </c>
    </row>
    <row r="843" spans="7:36" ht="25" customHeight="1" x14ac:dyDescent="0.35">
      <c r="G843" s="15" t="str">
        <f t="shared" si="62"/>
        <v/>
      </c>
      <c r="H843" s="12" t="str">
        <f t="shared" ca="1" si="63"/>
        <v/>
      </c>
      <c r="I843" s="14"/>
      <c r="J843" s="1" t="str">
        <f>IF(COUNTA(A843:F3130)=0,"",IF(#REF!="","BRAK PROTOKOŁU","DODANY"))</f>
        <v/>
      </c>
      <c r="K843" s="1"/>
      <c r="M843" s="13" t="str" cm="1">
        <f t="array" ref="M843">IF($A843="","",IFERROR(TRANSPOSE(_xlfn._xlws.FILTER(Lokale!$C$3:$C$91,Lokale!$B$3:$B$91=$A843)),""))</f>
        <v/>
      </c>
      <c r="AJ843" s="13" t="str" cm="1">
        <f t="array" ref="AJ843">IF($C843="","",IFERROR(TRANSPOSE(_xlfn._xlws.FILTER(Listy!$D$2:$D$60,Listy!$C$2:$C$60=$C843)),""))</f>
        <v/>
      </c>
    </row>
    <row r="844" spans="7:36" ht="25" customHeight="1" x14ac:dyDescent="0.35">
      <c r="G844" s="15" t="str">
        <f t="shared" si="62"/>
        <v/>
      </c>
      <c r="H844" s="12" t="str">
        <f t="shared" ca="1" si="63"/>
        <v/>
      </c>
      <c r="I844" s="14"/>
      <c r="J844" s="1" t="str">
        <f>IF(COUNTA(A844:F3131)=0,"",IF(#REF!="","BRAK PROTOKOŁU","DODANY"))</f>
        <v/>
      </c>
      <c r="K844" s="1"/>
      <c r="M844" s="13" t="str" cm="1">
        <f t="array" ref="M844">IF($A844="","",IFERROR(TRANSPOSE(_xlfn._xlws.FILTER(Lokale!$C$3:$C$91,Lokale!$B$3:$B$91=$A844)),""))</f>
        <v/>
      </c>
      <c r="AJ844" s="13" t="str" cm="1">
        <f t="array" ref="AJ844">IF($C844="","",IFERROR(TRANSPOSE(_xlfn._xlws.FILTER(Listy!$D$2:$D$60,Listy!$C$2:$C$60=$C844)),""))</f>
        <v/>
      </c>
    </row>
    <row r="845" spans="7:36" ht="25" customHeight="1" x14ac:dyDescent="0.35">
      <c r="G845" s="15" t="str">
        <f t="shared" si="62"/>
        <v/>
      </c>
      <c r="H845" s="12" t="str">
        <f t="shared" ca="1" si="63"/>
        <v/>
      </c>
      <c r="I845" s="14"/>
      <c r="J845" s="1" t="str">
        <f>IF(COUNTA(A845:F3132)=0,"",IF(#REF!="","BRAK PROTOKOŁU","DODANY"))</f>
        <v/>
      </c>
      <c r="K845" s="1"/>
      <c r="M845" s="13" t="str" cm="1">
        <f t="array" ref="M845">IF($A845="","",IFERROR(TRANSPOSE(_xlfn._xlws.FILTER(Lokale!$C$3:$C$91,Lokale!$B$3:$B$91=$A845)),""))</f>
        <v/>
      </c>
      <c r="AJ845" s="13" t="str" cm="1">
        <f t="array" ref="AJ845">IF($C845="","",IFERROR(TRANSPOSE(_xlfn._xlws.FILTER(Listy!$D$2:$D$60,Listy!$C$2:$C$60=$C845)),""))</f>
        <v/>
      </c>
    </row>
    <row r="846" spans="7:36" ht="25" customHeight="1" x14ac:dyDescent="0.35">
      <c r="G846" s="15" t="str">
        <f t="shared" si="62"/>
        <v/>
      </c>
      <c r="H846" s="12" t="str">
        <f t="shared" ca="1" si="63"/>
        <v/>
      </c>
      <c r="I846" s="14"/>
      <c r="J846" s="1" t="str">
        <f>IF(COUNTA(A846:F3133)=0,"",IF(#REF!="","BRAK PROTOKOŁU","DODANY"))</f>
        <v/>
      </c>
      <c r="K846" s="1"/>
      <c r="M846" s="13" t="str" cm="1">
        <f t="array" ref="M846">IF($A846="","",IFERROR(TRANSPOSE(_xlfn._xlws.FILTER(Lokale!$C$3:$C$91,Lokale!$B$3:$B$91=$A846)),""))</f>
        <v/>
      </c>
      <c r="AJ846" s="13" t="str" cm="1">
        <f t="array" ref="AJ846">IF($C846="","",IFERROR(TRANSPOSE(_xlfn._xlws.FILTER(Listy!$D$2:$D$60,Listy!$C$2:$C$60=$C846)),""))</f>
        <v/>
      </c>
    </row>
    <row r="847" spans="7:36" ht="25" customHeight="1" x14ac:dyDescent="0.35">
      <c r="G847" s="15" t="str">
        <f t="shared" si="62"/>
        <v/>
      </c>
      <c r="H847" s="12" t="str">
        <f t="shared" ca="1" si="63"/>
        <v/>
      </c>
      <c r="I847" s="14"/>
      <c r="J847" s="1" t="str">
        <f>IF(COUNTA(A847:F3134)=0,"",IF(#REF!="","BRAK PROTOKOŁU","DODANY"))</f>
        <v/>
      </c>
      <c r="K847" s="1"/>
      <c r="M847" s="13" t="str" cm="1">
        <f t="array" ref="M847">IF($A847="","",IFERROR(TRANSPOSE(_xlfn._xlws.FILTER(Lokale!$C$3:$C$91,Lokale!$B$3:$B$91=$A847)),""))</f>
        <v/>
      </c>
      <c r="AJ847" s="13" t="str" cm="1">
        <f t="array" ref="AJ847">IF($C847="","",IFERROR(TRANSPOSE(_xlfn._xlws.FILTER(Listy!$D$2:$D$60,Listy!$C$2:$C$60=$C847)),""))</f>
        <v/>
      </c>
    </row>
    <row r="848" spans="7:36" ht="25" customHeight="1" x14ac:dyDescent="0.35">
      <c r="G848" s="15" t="str">
        <f t="shared" si="62"/>
        <v/>
      </c>
      <c r="H848" s="12" t="str">
        <f t="shared" ca="1" si="63"/>
        <v/>
      </c>
      <c r="I848" s="14"/>
      <c r="J848" s="1" t="str">
        <f>IF(COUNTA(A848:F3135)=0,"",IF(#REF!="","BRAK PROTOKOŁU","DODANY"))</f>
        <v/>
      </c>
      <c r="K848" s="1"/>
      <c r="M848" s="13" t="str" cm="1">
        <f t="array" ref="M848">IF($A848="","",IFERROR(TRANSPOSE(_xlfn._xlws.FILTER(Lokale!$C$3:$C$91,Lokale!$B$3:$B$91=$A848)),""))</f>
        <v/>
      </c>
      <c r="AJ848" s="13" t="str" cm="1">
        <f t="array" ref="AJ848">IF($C848="","",IFERROR(TRANSPOSE(_xlfn._xlws.FILTER(Listy!$D$2:$D$60,Listy!$C$2:$C$60=$C848)),""))</f>
        <v/>
      </c>
    </row>
    <row r="849" spans="7:36" ht="25" customHeight="1" x14ac:dyDescent="0.35">
      <c r="G849" s="15" t="str">
        <f t="shared" si="62"/>
        <v/>
      </c>
      <c r="H849" s="12" t="str">
        <f t="shared" ca="1" si="63"/>
        <v/>
      </c>
      <c r="I849" s="14"/>
      <c r="J849" s="1" t="str">
        <f>IF(COUNTA(A849:F3136)=0,"",IF(#REF!="","BRAK PROTOKOŁU","DODANY"))</f>
        <v/>
      </c>
      <c r="K849" s="1"/>
      <c r="M849" s="13" t="str" cm="1">
        <f t="array" ref="M849">IF($A849="","",IFERROR(TRANSPOSE(_xlfn._xlws.FILTER(Lokale!$C$3:$C$91,Lokale!$B$3:$B$91=$A849)),""))</f>
        <v/>
      </c>
      <c r="AJ849" s="13" t="str" cm="1">
        <f t="array" ref="AJ849">IF($C849="","",IFERROR(TRANSPOSE(_xlfn._xlws.FILTER(Listy!$D$2:$D$60,Listy!$C$2:$C$60=$C849)),""))</f>
        <v/>
      </c>
    </row>
    <row r="850" spans="7:36" ht="25" customHeight="1" x14ac:dyDescent="0.35">
      <c r="G850" s="15" t="str">
        <f t="shared" si="62"/>
        <v/>
      </c>
      <c r="H850" s="12" t="str">
        <f t="shared" ca="1" si="63"/>
        <v/>
      </c>
      <c r="I850" s="14"/>
      <c r="J850" s="1" t="str">
        <f>IF(COUNTA(A850:F3137)=0,"",IF(#REF!="","BRAK PROTOKOŁU","DODANY"))</f>
        <v/>
      </c>
      <c r="K850" s="1"/>
      <c r="M850" s="13" t="str" cm="1">
        <f t="array" ref="M850">IF($A850="","",IFERROR(TRANSPOSE(_xlfn._xlws.FILTER(Lokale!$C$3:$C$91,Lokale!$B$3:$B$91=$A850)),""))</f>
        <v/>
      </c>
      <c r="AJ850" s="13" t="str" cm="1">
        <f t="array" ref="AJ850">IF($C850="","",IFERROR(TRANSPOSE(_xlfn._xlws.FILTER(Listy!$D$2:$D$60,Listy!$C$2:$C$60=$C850)),""))</f>
        <v/>
      </c>
    </row>
    <row r="851" spans="7:36" ht="25" customHeight="1" x14ac:dyDescent="0.35">
      <c r="G851" s="15" t="str">
        <f t="shared" si="62"/>
        <v/>
      </c>
      <c r="H851" s="12" t="str">
        <f t="shared" ca="1" si="63"/>
        <v/>
      </c>
      <c r="I851" s="14"/>
      <c r="J851" s="1" t="str">
        <f>IF(COUNTA(A851:F3138)=0,"",IF(#REF!="","BRAK PROTOKOŁU","DODANY"))</f>
        <v/>
      </c>
      <c r="K851" s="1"/>
      <c r="M851" s="13" t="str" cm="1">
        <f t="array" ref="M851">IF($A851="","",IFERROR(TRANSPOSE(_xlfn._xlws.FILTER(Lokale!$C$3:$C$91,Lokale!$B$3:$B$91=$A851)),""))</f>
        <v/>
      </c>
      <c r="AJ851" s="13" t="str" cm="1">
        <f t="array" ref="AJ851">IF($C851="","",IFERROR(TRANSPOSE(_xlfn._xlws.FILTER(Listy!$D$2:$D$60,Listy!$C$2:$C$60=$C851)),""))</f>
        <v/>
      </c>
    </row>
    <row r="852" spans="7:36" ht="25" customHeight="1" x14ac:dyDescent="0.35">
      <c r="G852" s="15" t="str">
        <f t="shared" si="62"/>
        <v/>
      </c>
      <c r="H852" s="12" t="str">
        <f t="shared" ca="1" si="63"/>
        <v/>
      </c>
      <c r="I852" s="14"/>
      <c r="J852" s="1" t="str">
        <f>IF(COUNTA(A852:F3139)=0,"",IF(#REF!="","BRAK PROTOKOŁU","DODANY"))</f>
        <v/>
      </c>
      <c r="K852" s="1"/>
      <c r="M852" s="13" t="str" cm="1">
        <f t="array" ref="M852">IF($A852="","",IFERROR(TRANSPOSE(_xlfn._xlws.FILTER(Lokale!$C$3:$C$91,Lokale!$B$3:$B$91=$A852)),""))</f>
        <v/>
      </c>
      <c r="AJ852" s="13" t="str" cm="1">
        <f t="array" ref="AJ852">IF($C852="","",IFERROR(TRANSPOSE(_xlfn._xlws.FILTER(Listy!$D$2:$D$60,Listy!$C$2:$C$60=$C852)),""))</f>
        <v/>
      </c>
    </row>
    <row r="853" spans="7:36" ht="25" customHeight="1" x14ac:dyDescent="0.35">
      <c r="G853" s="15" t="str">
        <f t="shared" si="62"/>
        <v/>
      </c>
      <c r="H853" s="12" t="str">
        <f t="shared" ca="1" si="63"/>
        <v/>
      </c>
      <c r="I853" s="14"/>
      <c r="J853" s="1" t="str">
        <f>IF(COUNTA(A853:F3140)=0,"",IF(#REF!="","BRAK PROTOKOŁU","DODANY"))</f>
        <v/>
      </c>
      <c r="K853" s="1"/>
      <c r="M853" s="13" t="str" cm="1">
        <f t="array" ref="M853">IF($A853="","",IFERROR(TRANSPOSE(_xlfn._xlws.FILTER(Lokale!$C$3:$C$91,Lokale!$B$3:$B$91=$A853)),""))</f>
        <v/>
      </c>
      <c r="AJ853" s="13" t="str" cm="1">
        <f t="array" ref="AJ853">IF($C853="","",IFERROR(TRANSPOSE(_xlfn._xlws.FILTER(Listy!$D$2:$D$60,Listy!$C$2:$C$60=$C853)),""))</f>
        <v/>
      </c>
    </row>
    <row r="854" spans="7:36" ht="25" customHeight="1" x14ac:dyDescent="0.35">
      <c r="G854" s="15" t="str">
        <f t="shared" si="62"/>
        <v/>
      </c>
      <c r="H854" s="12" t="str">
        <f t="shared" ca="1" si="63"/>
        <v/>
      </c>
      <c r="I854" s="14"/>
      <c r="J854" s="1" t="str">
        <f>IF(COUNTA(A854:F3141)=0,"",IF(#REF!="","BRAK PROTOKOŁU","DODANY"))</f>
        <v/>
      </c>
      <c r="K854" s="1"/>
      <c r="M854" s="13" t="str" cm="1">
        <f t="array" ref="M854">IF($A854="","",IFERROR(TRANSPOSE(_xlfn._xlws.FILTER(Lokale!$C$3:$C$91,Lokale!$B$3:$B$91=$A854)),""))</f>
        <v/>
      </c>
      <c r="AJ854" s="13" t="str" cm="1">
        <f t="array" ref="AJ854">IF($C854="","",IFERROR(TRANSPOSE(_xlfn._xlws.FILTER(Listy!$D$2:$D$60,Listy!$C$2:$C$60=$C854)),""))</f>
        <v/>
      </c>
    </row>
    <row r="855" spans="7:36" ht="25" customHeight="1" x14ac:dyDescent="0.35">
      <c r="G855" s="15" t="str">
        <f t="shared" si="62"/>
        <v/>
      </c>
      <c r="H855" s="12" t="str">
        <f t="shared" ca="1" si="63"/>
        <v/>
      </c>
      <c r="I855" s="14"/>
      <c r="J855" s="1" t="str">
        <f>IF(COUNTA(A855:F3142)=0,"",IF(#REF!="","BRAK PROTOKOŁU","DODANY"))</f>
        <v/>
      </c>
      <c r="K855" s="1"/>
      <c r="M855" s="13" t="str" cm="1">
        <f t="array" ref="M855">IF($A855="","",IFERROR(TRANSPOSE(_xlfn._xlws.FILTER(Lokale!$C$3:$C$91,Lokale!$B$3:$B$91=$A855)),""))</f>
        <v/>
      </c>
      <c r="AJ855" s="13" t="str" cm="1">
        <f t="array" ref="AJ855">IF($C855="","",IFERROR(TRANSPOSE(_xlfn._xlws.FILTER(Listy!$D$2:$D$60,Listy!$C$2:$C$60=$C855)),""))</f>
        <v/>
      </c>
    </row>
    <row r="856" spans="7:36" ht="25" customHeight="1" x14ac:dyDescent="0.35">
      <c r="G856" s="15" t="str">
        <f t="shared" si="62"/>
        <v/>
      </c>
      <c r="H856" s="12" t="str">
        <f t="shared" ca="1" si="63"/>
        <v/>
      </c>
      <c r="I856" s="14"/>
      <c r="J856" s="1" t="str">
        <f>IF(COUNTA(A856:F3143)=0,"",IF(#REF!="","BRAK PROTOKOŁU","DODANY"))</f>
        <v/>
      </c>
      <c r="K856" s="1"/>
      <c r="M856" s="13" t="str" cm="1">
        <f t="array" ref="M856">IF($A856="","",IFERROR(TRANSPOSE(_xlfn._xlws.FILTER(Lokale!$C$3:$C$91,Lokale!$B$3:$B$91=$A856)),""))</f>
        <v/>
      </c>
      <c r="AJ856" s="13" t="str" cm="1">
        <f t="array" ref="AJ856">IF($C856="","",IFERROR(TRANSPOSE(_xlfn._xlws.FILTER(Listy!$D$2:$D$60,Listy!$C$2:$C$60=$C856)),""))</f>
        <v/>
      </c>
    </row>
    <row r="857" spans="7:36" ht="25" customHeight="1" x14ac:dyDescent="0.35">
      <c r="G857" s="15" t="str">
        <f t="shared" si="62"/>
        <v/>
      </c>
      <c r="H857" s="12" t="str">
        <f t="shared" ca="1" si="63"/>
        <v/>
      </c>
      <c r="I857" s="14"/>
      <c r="J857" s="1" t="str">
        <f>IF(COUNTA(A857:F3144)=0,"",IF(#REF!="","BRAK PROTOKOŁU","DODANY"))</f>
        <v/>
      </c>
      <c r="K857" s="1"/>
      <c r="M857" s="13" t="str" cm="1">
        <f t="array" ref="M857">IF($A857="","",IFERROR(TRANSPOSE(_xlfn._xlws.FILTER(Lokale!$C$3:$C$91,Lokale!$B$3:$B$91=$A857)),""))</f>
        <v/>
      </c>
      <c r="AJ857" s="13" t="str" cm="1">
        <f t="array" ref="AJ857">IF($C857="","",IFERROR(TRANSPOSE(_xlfn._xlws.FILTER(Listy!$D$2:$D$60,Listy!$C$2:$C$60=$C857)),""))</f>
        <v/>
      </c>
    </row>
    <row r="858" spans="7:36" ht="25" customHeight="1" x14ac:dyDescent="0.35">
      <c r="G858" s="15" t="str">
        <f t="shared" si="62"/>
        <v/>
      </c>
      <c r="H858" s="12" t="str">
        <f t="shared" ca="1" si="63"/>
        <v/>
      </c>
      <c r="I858" s="14"/>
      <c r="J858" s="1" t="str">
        <f>IF(COUNTA(A858:F3145)=0,"",IF(#REF!="","BRAK PROTOKOŁU","DODANY"))</f>
        <v/>
      </c>
      <c r="K858" s="1"/>
      <c r="M858" s="13" t="str" cm="1">
        <f t="array" ref="M858">IF($A858="","",IFERROR(TRANSPOSE(_xlfn._xlws.FILTER(Lokale!$C$3:$C$91,Lokale!$B$3:$B$91=$A858)),""))</f>
        <v/>
      </c>
      <c r="AJ858" s="13" t="str" cm="1">
        <f t="array" ref="AJ858">IF($C858="","",IFERROR(TRANSPOSE(_xlfn._xlws.FILTER(Listy!$D$2:$D$60,Listy!$C$2:$C$60=$C858)),""))</f>
        <v/>
      </c>
    </row>
    <row r="859" spans="7:36" ht="25" customHeight="1" x14ac:dyDescent="0.35">
      <c r="G859" s="15" t="str">
        <f t="shared" si="62"/>
        <v/>
      </c>
      <c r="H859" s="12" t="str">
        <f t="shared" ca="1" si="63"/>
        <v/>
      </c>
      <c r="I859" s="14"/>
      <c r="J859" s="1" t="str">
        <f>IF(COUNTA(A859:F3146)=0,"",IF(#REF!="","BRAK PROTOKOŁU","DODANY"))</f>
        <v/>
      </c>
      <c r="K859" s="1"/>
      <c r="M859" s="13" t="str" cm="1">
        <f t="array" ref="M859">IF($A859="","",IFERROR(TRANSPOSE(_xlfn._xlws.FILTER(Lokale!$C$3:$C$91,Lokale!$B$3:$B$91=$A859)),""))</f>
        <v/>
      </c>
      <c r="AJ859" s="13" t="str" cm="1">
        <f t="array" ref="AJ859">IF($C859="","",IFERROR(TRANSPOSE(_xlfn._xlws.FILTER(Listy!$D$2:$D$60,Listy!$C$2:$C$60=$C859)),""))</f>
        <v/>
      </c>
    </row>
    <row r="860" spans="7:36" ht="25" customHeight="1" x14ac:dyDescent="0.35">
      <c r="G860" s="15" t="str">
        <f t="shared" si="62"/>
        <v/>
      </c>
      <c r="H860" s="12" t="str">
        <f t="shared" ca="1" si="63"/>
        <v/>
      </c>
      <c r="I860" s="14"/>
      <c r="J860" s="1" t="str">
        <f>IF(COUNTA(A860:F3147)=0,"",IF(#REF!="","BRAK PROTOKOŁU","DODANY"))</f>
        <v/>
      </c>
      <c r="K860" s="1"/>
      <c r="M860" s="13" t="str" cm="1">
        <f t="array" ref="M860">IF($A860="","",IFERROR(TRANSPOSE(_xlfn._xlws.FILTER(Lokale!$C$3:$C$91,Lokale!$B$3:$B$91=$A860)),""))</f>
        <v/>
      </c>
      <c r="AJ860" s="13" t="str" cm="1">
        <f t="array" ref="AJ860">IF($C860="","",IFERROR(TRANSPOSE(_xlfn._xlws.FILTER(Listy!$D$2:$D$60,Listy!$C$2:$C$60=$C860)),""))</f>
        <v/>
      </c>
    </row>
    <row r="861" spans="7:36" ht="25" customHeight="1" x14ac:dyDescent="0.35">
      <c r="G861" s="15" t="str">
        <f t="shared" si="62"/>
        <v/>
      </c>
      <c r="H861" s="12" t="str">
        <f t="shared" ca="1" si="63"/>
        <v/>
      </c>
      <c r="I861" s="14"/>
      <c r="J861" s="1" t="str">
        <f>IF(COUNTA(A861:F3148)=0,"",IF(#REF!="","BRAK PROTOKOŁU","DODANY"))</f>
        <v/>
      </c>
      <c r="K861" s="1"/>
      <c r="M861" s="13" t="str" cm="1">
        <f t="array" ref="M861">IF($A861="","",IFERROR(TRANSPOSE(_xlfn._xlws.FILTER(Lokale!$C$3:$C$91,Lokale!$B$3:$B$91=$A861)),""))</f>
        <v/>
      </c>
      <c r="AJ861" s="13" t="str" cm="1">
        <f t="array" ref="AJ861">IF($C861="","",IFERROR(TRANSPOSE(_xlfn._xlws.FILTER(Listy!$D$2:$D$60,Listy!$C$2:$C$60=$C861)),""))</f>
        <v/>
      </c>
    </row>
    <row r="862" spans="7:36" ht="25" customHeight="1" x14ac:dyDescent="0.35">
      <c r="G862" s="15" t="str">
        <f t="shared" si="62"/>
        <v/>
      </c>
      <c r="H862" s="12" t="str">
        <f t="shared" ca="1" si="63"/>
        <v/>
      </c>
      <c r="I862" s="14"/>
      <c r="J862" s="1" t="str">
        <f>IF(COUNTA(A862:F3149)=0,"",IF(#REF!="","BRAK PROTOKOŁU","DODANY"))</f>
        <v/>
      </c>
      <c r="K862" s="1"/>
      <c r="M862" s="13" t="str" cm="1">
        <f t="array" ref="M862">IF($A862="","",IFERROR(TRANSPOSE(_xlfn._xlws.FILTER(Lokale!$C$3:$C$91,Lokale!$B$3:$B$91=$A862)),""))</f>
        <v/>
      </c>
      <c r="AJ862" s="13" t="str" cm="1">
        <f t="array" ref="AJ862">IF($C862="","",IFERROR(TRANSPOSE(_xlfn._xlws.FILTER(Listy!$D$2:$D$60,Listy!$C$2:$C$60=$C862)),""))</f>
        <v/>
      </c>
    </row>
    <row r="863" spans="7:36" ht="25" customHeight="1" x14ac:dyDescent="0.35">
      <c r="G863" s="15" t="str">
        <f t="shared" si="62"/>
        <v/>
      </c>
      <c r="H863" s="12" t="str">
        <f t="shared" ca="1" si="63"/>
        <v/>
      </c>
      <c r="I863" s="14"/>
      <c r="J863" s="1" t="str">
        <f>IF(COUNTA(A863:F3150)=0,"",IF(#REF!="","BRAK PROTOKOŁU","DODANY"))</f>
        <v/>
      </c>
      <c r="K863" s="1"/>
      <c r="M863" s="13" t="str" cm="1">
        <f t="array" ref="M863">IF($A863="","",IFERROR(TRANSPOSE(_xlfn._xlws.FILTER(Lokale!$C$3:$C$91,Lokale!$B$3:$B$91=$A863)),""))</f>
        <v/>
      </c>
      <c r="AJ863" s="13" t="str" cm="1">
        <f t="array" ref="AJ863">IF($C863="","",IFERROR(TRANSPOSE(_xlfn._xlws.FILTER(Listy!$D$2:$D$60,Listy!$C$2:$C$60=$C863)),""))</f>
        <v/>
      </c>
    </row>
    <row r="864" spans="7:36" ht="25" customHeight="1" x14ac:dyDescent="0.35">
      <c r="G864" s="15" t="str">
        <f t="shared" si="62"/>
        <v/>
      </c>
      <c r="H864" s="12" t="str">
        <f t="shared" ca="1" si="63"/>
        <v/>
      </c>
      <c r="I864" s="14"/>
      <c r="J864" s="1" t="str">
        <f>IF(COUNTA(A864:F3151)=0,"",IF(#REF!="","BRAK PROTOKOŁU","DODANY"))</f>
        <v/>
      </c>
      <c r="K864" s="1"/>
      <c r="M864" s="13" t="str" cm="1">
        <f t="array" ref="M864">IF($A864="","",IFERROR(TRANSPOSE(_xlfn._xlws.FILTER(Lokale!$C$3:$C$91,Lokale!$B$3:$B$91=$A864)),""))</f>
        <v/>
      </c>
      <c r="AJ864" s="13" t="str" cm="1">
        <f t="array" ref="AJ864">IF($C864="","",IFERROR(TRANSPOSE(_xlfn._xlws.FILTER(Listy!$D$2:$D$60,Listy!$C$2:$C$60=$C864)),""))</f>
        <v/>
      </c>
    </row>
    <row r="865" spans="7:36" ht="25" customHeight="1" x14ac:dyDescent="0.35">
      <c r="G865" s="15" t="str">
        <f t="shared" si="62"/>
        <v/>
      </c>
      <c r="H865" s="12" t="str">
        <f t="shared" ca="1" si="63"/>
        <v/>
      </c>
      <c r="I865" s="14"/>
      <c r="J865" s="1" t="str">
        <f>IF(COUNTA(A865:F3152)=0,"",IF(#REF!="","BRAK PROTOKOŁU","DODANY"))</f>
        <v/>
      </c>
      <c r="K865" s="1"/>
      <c r="M865" s="13" t="str" cm="1">
        <f t="array" ref="M865">IF($A865="","",IFERROR(TRANSPOSE(_xlfn._xlws.FILTER(Lokale!$C$3:$C$91,Lokale!$B$3:$B$91=$A865)),""))</f>
        <v/>
      </c>
      <c r="AJ865" s="13" t="str" cm="1">
        <f t="array" ref="AJ865">IF($C865="","",IFERROR(TRANSPOSE(_xlfn._xlws.FILTER(Listy!$D$2:$D$60,Listy!$C$2:$C$60=$C865)),""))</f>
        <v/>
      </c>
    </row>
    <row r="866" spans="7:36" ht="25" customHeight="1" x14ac:dyDescent="0.35">
      <c r="G866" s="15" t="str">
        <f t="shared" ref="G866:G929" si="64">IF(OR(E866="",F866=""),"",DATE(YEAR(E866),MONTH(E866)+F866,DAY(E866)))</f>
        <v/>
      </c>
      <c r="H866" s="12" t="str">
        <f t="shared" ref="H866:H929" ca="1" si="65">IF(G866="","",IF(G866&lt;TODAY(),"PO TERMINIE",IF(G866&lt;=TODAY()+14,"DO WYKONANIA","OK")))</f>
        <v/>
      </c>
      <c r="I866" s="14"/>
      <c r="J866" s="1" t="str">
        <f>IF(COUNTA(A866:F3153)=0,"",IF(#REF!="","BRAK PROTOKOŁU","DODANY"))</f>
        <v/>
      </c>
      <c r="K866" s="1"/>
      <c r="M866" s="13" t="str" cm="1">
        <f t="array" ref="M866">IF($A866="","",IFERROR(TRANSPOSE(_xlfn._xlws.FILTER(Lokale!$C$3:$C$91,Lokale!$B$3:$B$91=$A866)),""))</f>
        <v/>
      </c>
      <c r="AJ866" s="13" t="str" cm="1">
        <f t="array" ref="AJ866">IF($C866="","",IFERROR(TRANSPOSE(_xlfn._xlws.FILTER(Listy!$D$2:$D$60,Listy!$C$2:$C$60=$C866)),""))</f>
        <v/>
      </c>
    </row>
    <row r="867" spans="7:36" ht="25" customHeight="1" x14ac:dyDescent="0.35">
      <c r="G867" s="15" t="str">
        <f t="shared" si="64"/>
        <v/>
      </c>
      <c r="H867" s="12" t="str">
        <f t="shared" ca="1" si="65"/>
        <v/>
      </c>
      <c r="I867" s="14"/>
      <c r="J867" s="1" t="str">
        <f>IF(COUNTA(A867:F3154)=0,"",IF(#REF!="","BRAK PROTOKOŁU","DODANY"))</f>
        <v/>
      </c>
      <c r="K867" s="1"/>
      <c r="M867" s="13" t="str" cm="1">
        <f t="array" ref="M867">IF($A867="","",IFERROR(TRANSPOSE(_xlfn._xlws.FILTER(Lokale!$C$3:$C$91,Lokale!$B$3:$B$91=$A867)),""))</f>
        <v/>
      </c>
      <c r="AJ867" s="13" t="str" cm="1">
        <f t="array" ref="AJ867">IF($C867="","",IFERROR(TRANSPOSE(_xlfn._xlws.FILTER(Listy!$D$2:$D$60,Listy!$C$2:$C$60=$C867)),""))</f>
        <v/>
      </c>
    </row>
    <row r="868" spans="7:36" ht="25" customHeight="1" x14ac:dyDescent="0.35">
      <c r="G868" s="15" t="str">
        <f t="shared" si="64"/>
        <v/>
      </c>
      <c r="H868" s="12" t="str">
        <f t="shared" ca="1" si="65"/>
        <v/>
      </c>
      <c r="I868" s="14"/>
      <c r="J868" s="1" t="str">
        <f>IF(COUNTA(A868:F3155)=0,"",IF(#REF!="","BRAK PROTOKOŁU","DODANY"))</f>
        <v/>
      </c>
      <c r="K868" s="1"/>
      <c r="M868" s="13" t="str" cm="1">
        <f t="array" ref="M868">IF($A868="","",IFERROR(TRANSPOSE(_xlfn._xlws.FILTER(Lokale!$C$3:$C$91,Lokale!$B$3:$B$91=$A868)),""))</f>
        <v/>
      </c>
      <c r="AJ868" s="13" t="str" cm="1">
        <f t="array" ref="AJ868">IF($C868="","",IFERROR(TRANSPOSE(_xlfn._xlws.FILTER(Listy!$D$2:$D$60,Listy!$C$2:$C$60=$C868)),""))</f>
        <v/>
      </c>
    </row>
    <row r="869" spans="7:36" ht="25" customHeight="1" x14ac:dyDescent="0.35">
      <c r="G869" s="15" t="str">
        <f t="shared" si="64"/>
        <v/>
      </c>
      <c r="H869" s="12" t="str">
        <f t="shared" ca="1" si="65"/>
        <v/>
      </c>
      <c r="I869" s="14"/>
      <c r="J869" s="1" t="str">
        <f>IF(COUNTA(A869:F3156)=0,"",IF(#REF!="","BRAK PROTOKOŁU","DODANY"))</f>
        <v/>
      </c>
      <c r="K869" s="1"/>
      <c r="M869" s="13" t="str" cm="1">
        <f t="array" ref="M869">IF($A869="","",IFERROR(TRANSPOSE(_xlfn._xlws.FILTER(Lokale!$C$3:$C$91,Lokale!$B$3:$B$91=$A869)),""))</f>
        <v/>
      </c>
      <c r="AJ869" s="13" t="str" cm="1">
        <f t="array" ref="AJ869">IF($C869="","",IFERROR(TRANSPOSE(_xlfn._xlws.FILTER(Listy!$D$2:$D$60,Listy!$C$2:$C$60=$C869)),""))</f>
        <v/>
      </c>
    </row>
    <row r="870" spans="7:36" ht="25" customHeight="1" x14ac:dyDescent="0.35">
      <c r="G870" s="15" t="str">
        <f t="shared" si="64"/>
        <v/>
      </c>
      <c r="H870" s="12" t="str">
        <f t="shared" ca="1" si="65"/>
        <v/>
      </c>
      <c r="I870" s="14"/>
      <c r="J870" s="1" t="str">
        <f>IF(COUNTA(A870:F3157)=0,"",IF(#REF!="","BRAK PROTOKOŁU","DODANY"))</f>
        <v/>
      </c>
      <c r="K870" s="1"/>
      <c r="M870" s="13" t="str" cm="1">
        <f t="array" ref="M870">IF($A870="","",IFERROR(TRANSPOSE(_xlfn._xlws.FILTER(Lokale!$C$3:$C$91,Lokale!$B$3:$B$91=$A870)),""))</f>
        <v/>
      </c>
      <c r="AJ870" s="13" t="str" cm="1">
        <f t="array" ref="AJ870">IF($C870="","",IFERROR(TRANSPOSE(_xlfn._xlws.FILTER(Listy!$D$2:$D$60,Listy!$C$2:$C$60=$C870)),""))</f>
        <v/>
      </c>
    </row>
    <row r="871" spans="7:36" ht="25" customHeight="1" x14ac:dyDescent="0.35">
      <c r="G871" s="15" t="str">
        <f t="shared" si="64"/>
        <v/>
      </c>
      <c r="H871" s="12" t="str">
        <f t="shared" ca="1" si="65"/>
        <v/>
      </c>
      <c r="I871" s="14"/>
      <c r="J871" s="1" t="str">
        <f>IF(COUNTA(A871:F3158)=0,"",IF(#REF!="","BRAK PROTOKOŁU","DODANY"))</f>
        <v/>
      </c>
      <c r="K871" s="1"/>
      <c r="M871" s="13" t="str" cm="1">
        <f t="array" ref="M871">IF($A871="","",IFERROR(TRANSPOSE(_xlfn._xlws.FILTER(Lokale!$C$3:$C$91,Lokale!$B$3:$B$91=$A871)),""))</f>
        <v/>
      </c>
      <c r="AJ871" s="13" t="str" cm="1">
        <f t="array" ref="AJ871">IF($C871="","",IFERROR(TRANSPOSE(_xlfn._xlws.FILTER(Listy!$D$2:$D$60,Listy!$C$2:$C$60=$C871)),""))</f>
        <v/>
      </c>
    </row>
    <row r="872" spans="7:36" ht="25" customHeight="1" x14ac:dyDescent="0.35">
      <c r="G872" s="15" t="str">
        <f t="shared" si="64"/>
        <v/>
      </c>
      <c r="H872" s="12" t="str">
        <f t="shared" ca="1" si="65"/>
        <v/>
      </c>
      <c r="I872" s="14"/>
      <c r="J872" s="1" t="str">
        <f>IF(COUNTA(A872:F3159)=0,"",IF(#REF!="","BRAK PROTOKOŁU","DODANY"))</f>
        <v/>
      </c>
      <c r="K872" s="1"/>
      <c r="M872" s="13" t="str" cm="1">
        <f t="array" ref="M872">IF($A872="","",IFERROR(TRANSPOSE(_xlfn._xlws.FILTER(Lokale!$C$3:$C$91,Lokale!$B$3:$B$91=$A872)),""))</f>
        <v/>
      </c>
      <c r="AJ872" s="13" t="str" cm="1">
        <f t="array" ref="AJ872">IF($C872="","",IFERROR(TRANSPOSE(_xlfn._xlws.FILTER(Listy!$D$2:$D$60,Listy!$C$2:$C$60=$C872)),""))</f>
        <v/>
      </c>
    </row>
    <row r="873" spans="7:36" ht="25" customHeight="1" x14ac:dyDescent="0.35">
      <c r="G873" s="15" t="str">
        <f t="shared" si="64"/>
        <v/>
      </c>
      <c r="H873" s="12" t="str">
        <f t="shared" ca="1" si="65"/>
        <v/>
      </c>
      <c r="I873" s="14"/>
      <c r="J873" s="1" t="str">
        <f>IF(COUNTA(A873:F3160)=0,"",IF(#REF!="","BRAK PROTOKOŁU","DODANY"))</f>
        <v/>
      </c>
      <c r="K873" s="1"/>
      <c r="M873" s="13" t="str" cm="1">
        <f t="array" ref="M873">IF($A873="","",IFERROR(TRANSPOSE(_xlfn._xlws.FILTER(Lokale!$C$3:$C$91,Lokale!$B$3:$B$91=$A873)),""))</f>
        <v/>
      </c>
      <c r="AJ873" s="13" t="str" cm="1">
        <f t="array" ref="AJ873">IF($C873="","",IFERROR(TRANSPOSE(_xlfn._xlws.FILTER(Listy!$D$2:$D$60,Listy!$C$2:$C$60=$C873)),""))</f>
        <v/>
      </c>
    </row>
    <row r="874" spans="7:36" ht="25" customHeight="1" x14ac:dyDescent="0.35">
      <c r="G874" s="15" t="str">
        <f t="shared" si="64"/>
        <v/>
      </c>
      <c r="H874" s="12" t="str">
        <f t="shared" ca="1" si="65"/>
        <v/>
      </c>
      <c r="I874" s="14"/>
      <c r="J874" s="1" t="str">
        <f>IF(COUNTA(A874:F3161)=0,"",IF(#REF!="","BRAK PROTOKOŁU","DODANY"))</f>
        <v/>
      </c>
      <c r="K874" s="1"/>
      <c r="M874" s="13" t="str" cm="1">
        <f t="array" ref="M874">IF($A874="","",IFERROR(TRANSPOSE(_xlfn._xlws.FILTER(Lokale!$C$3:$C$91,Lokale!$B$3:$B$91=$A874)),""))</f>
        <v/>
      </c>
      <c r="AJ874" s="13" t="str" cm="1">
        <f t="array" ref="AJ874">IF($C874="","",IFERROR(TRANSPOSE(_xlfn._xlws.FILTER(Listy!$D$2:$D$60,Listy!$C$2:$C$60=$C874)),""))</f>
        <v/>
      </c>
    </row>
    <row r="875" spans="7:36" ht="25" customHeight="1" x14ac:dyDescent="0.35">
      <c r="G875" s="15" t="str">
        <f t="shared" si="64"/>
        <v/>
      </c>
      <c r="H875" s="12" t="str">
        <f t="shared" ca="1" si="65"/>
        <v/>
      </c>
      <c r="I875" s="14"/>
      <c r="J875" s="1" t="str">
        <f>IF(COUNTA(A875:F3162)=0,"",IF(#REF!="","BRAK PROTOKOŁU","DODANY"))</f>
        <v/>
      </c>
      <c r="K875" s="1"/>
      <c r="M875" s="13" t="str" cm="1">
        <f t="array" ref="M875">IF($A875="","",IFERROR(TRANSPOSE(_xlfn._xlws.FILTER(Lokale!$C$3:$C$91,Lokale!$B$3:$B$91=$A875)),""))</f>
        <v/>
      </c>
      <c r="AJ875" s="13" t="str" cm="1">
        <f t="array" ref="AJ875">IF($C875="","",IFERROR(TRANSPOSE(_xlfn._xlws.FILTER(Listy!$D$2:$D$60,Listy!$C$2:$C$60=$C875)),""))</f>
        <v/>
      </c>
    </row>
    <row r="876" spans="7:36" ht="25" customHeight="1" x14ac:dyDescent="0.35">
      <c r="G876" s="15" t="str">
        <f t="shared" si="64"/>
        <v/>
      </c>
      <c r="H876" s="12" t="str">
        <f t="shared" ca="1" si="65"/>
        <v/>
      </c>
      <c r="I876" s="14"/>
      <c r="J876" s="1" t="str">
        <f>IF(COUNTA(A876:F3163)=0,"",IF(#REF!="","BRAK PROTOKOŁU","DODANY"))</f>
        <v/>
      </c>
      <c r="K876" s="1"/>
      <c r="M876" s="13" t="str" cm="1">
        <f t="array" ref="M876">IF($A876="","",IFERROR(TRANSPOSE(_xlfn._xlws.FILTER(Lokale!$C$3:$C$91,Lokale!$B$3:$B$91=$A876)),""))</f>
        <v/>
      </c>
      <c r="AJ876" s="13" t="str" cm="1">
        <f t="array" ref="AJ876">IF($C876="","",IFERROR(TRANSPOSE(_xlfn._xlws.FILTER(Listy!$D$2:$D$60,Listy!$C$2:$C$60=$C876)),""))</f>
        <v/>
      </c>
    </row>
    <row r="877" spans="7:36" ht="25" customHeight="1" x14ac:dyDescent="0.35">
      <c r="G877" s="15" t="str">
        <f t="shared" si="64"/>
        <v/>
      </c>
      <c r="H877" s="12" t="str">
        <f t="shared" ca="1" si="65"/>
        <v/>
      </c>
      <c r="I877" s="14"/>
      <c r="J877" s="1" t="str">
        <f>IF(COUNTA(A877:F3164)=0,"",IF(#REF!="","BRAK PROTOKOŁU","DODANY"))</f>
        <v/>
      </c>
      <c r="K877" s="1"/>
      <c r="M877" s="13" t="str" cm="1">
        <f t="array" ref="M877">IF($A877="","",IFERROR(TRANSPOSE(_xlfn._xlws.FILTER(Lokale!$C$3:$C$91,Lokale!$B$3:$B$91=$A877)),""))</f>
        <v/>
      </c>
      <c r="AJ877" s="13" t="str" cm="1">
        <f t="array" ref="AJ877">IF($C877="","",IFERROR(TRANSPOSE(_xlfn._xlws.FILTER(Listy!$D$2:$D$60,Listy!$C$2:$C$60=$C877)),""))</f>
        <v/>
      </c>
    </row>
    <row r="878" spans="7:36" ht="25" customHeight="1" x14ac:dyDescent="0.35">
      <c r="G878" s="15" t="str">
        <f t="shared" si="64"/>
        <v/>
      </c>
      <c r="H878" s="12" t="str">
        <f t="shared" ca="1" si="65"/>
        <v/>
      </c>
      <c r="I878" s="14"/>
      <c r="J878" s="1" t="str">
        <f>IF(COUNTA(A878:F3165)=0,"",IF(#REF!="","BRAK PROTOKOŁU","DODANY"))</f>
        <v/>
      </c>
      <c r="K878" s="1"/>
      <c r="M878" s="13" t="str" cm="1">
        <f t="array" ref="M878">IF($A878="","",IFERROR(TRANSPOSE(_xlfn._xlws.FILTER(Lokale!$C$3:$C$91,Lokale!$B$3:$B$91=$A878)),""))</f>
        <v/>
      </c>
      <c r="AJ878" s="13" t="str" cm="1">
        <f t="array" ref="AJ878">IF($C878="","",IFERROR(TRANSPOSE(_xlfn._xlws.FILTER(Listy!$D$2:$D$60,Listy!$C$2:$C$60=$C878)),""))</f>
        <v/>
      </c>
    </row>
    <row r="879" spans="7:36" ht="25" customHeight="1" x14ac:dyDescent="0.35">
      <c r="G879" s="15" t="str">
        <f t="shared" si="64"/>
        <v/>
      </c>
      <c r="H879" s="12" t="str">
        <f t="shared" ca="1" si="65"/>
        <v/>
      </c>
      <c r="I879" s="14"/>
      <c r="J879" s="1" t="str">
        <f>IF(COUNTA(A879:F3166)=0,"",IF(#REF!="","BRAK PROTOKOŁU","DODANY"))</f>
        <v/>
      </c>
      <c r="K879" s="1"/>
      <c r="M879" s="13" t="str" cm="1">
        <f t="array" ref="M879">IF($A879="","",IFERROR(TRANSPOSE(_xlfn._xlws.FILTER(Lokale!$C$3:$C$91,Lokale!$B$3:$B$91=$A879)),""))</f>
        <v/>
      </c>
      <c r="AJ879" s="13" t="str" cm="1">
        <f t="array" ref="AJ879">IF($C879="","",IFERROR(TRANSPOSE(_xlfn._xlws.FILTER(Listy!$D$2:$D$60,Listy!$C$2:$C$60=$C879)),""))</f>
        <v/>
      </c>
    </row>
    <row r="880" spans="7:36" ht="25" customHeight="1" x14ac:dyDescent="0.35">
      <c r="G880" s="15" t="str">
        <f t="shared" si="64"/>
        <v/>
      </c>
      <c r="H880" s="12" t="str">
        <f t="shared" ca="1" si="65"/>
        <v/>
      </c>
      <c r="I880" s="14"/>
      <c r="J880" s="1" t="str">
        <f>IF(COUNTA(A880:F3167)=0,"",IF(#REF!="","BRAK PROTOKOŁU","DODANY"))</f>
        <v/>
      </c>
      <c r="K880" s="1"/>
      <c r="M880" s="13" t="str" cm="1">
        <f t="array" ref="M880">IF($A880="","",IFERROR(TRANSPOSE(_xlfn._xlws.FILTER(Lokale!$C$3:$C$91,Lokale!$B$3:$B$91=$A880)),""))</f>
        <v/>
      </c>
      <c r="AJ880" s="13" t="str" cm="1">
        <f t="array" ref="AJ880">IF($C880="","",IFERROR(TRANSPOSE(_xlfn._xlws.FILTER(Listy!$D$2:$D$60,Listy!$C$2:$C$60=$C880)),""))</f>
        <v/>
      </c>
    </row>
    <row r="881" spans="7:36" ht="25" customHeight="1" x14ac:dyDescent="0.35">
      <c r="G881" s="15" t="str">
        <f t="shared" si="64"/>
        <v/>
      </c>
      <c r="H881" s="12" t="str">
        <f t="shared" ca="1" si="65"/>
        <v/>
      </c>
      <c r="I881" s="14"/>
      <c r="J881" s="1" t="str">
        <f>IF(COUNTA(A881:F3168)=0,"",IF(#REF!="","BRAK PROTOKOŁU","DODANY"))</f>
        <v/>
      </c>
      <c r="K881" s="1"/>
      <c r="M881" s="13" t="str" cm="1">
        <f t="array" ref="M881">IF($A881="","",IFERROR(TRANSPOSE(_xlfn._xlws.FILTER(Lokale!$C$3:$C$91,Lokale!$B$3:$B$91=$A881)),""))</f>
        <v/>
      </c>
      <c r="AJ881" s="13" t="str" cm="1">
        <f t="array" ref="AJ881">IF($C881="","",IFERROR(TRANSPOSE(_xlfn._xlws.FILTER(Listy!$D$2:$D$60,Listy!$C$2:$C$60=$C881)),""))</f>
        <v/>
      </c>
    </row>
    <row r="882" spans="7:36" ht="25" customHeight="1" x14ac:dyDescent="0.35">
      <c r="G882" s="15" t="str">
        <f t="shared" si="64"/>
        <v/>
      </c>
      <c r="H882" s="12" t="str">
        <f t="shared" ca="1" si="65"/>
        <v/>
      </c>
      <c r="I882" s="14"/>
      <c r="J882" s="1" t="str">
        <f>IF(COUNTA(A882:F3169)=0,"",IF(#REF!="","BRAK PROTOKOŁU","DODANY"))</f>
        <v/>
      </c>
      <c r="K882" s="1"/>
      <c r="M882" s="13" t="str" cm="1">
        <f t="array" ref="M882">IF($A882="","",IFERROR(TRANSPOSE(_xlfn._xlws.FILTER(Lokale!$C$3:$C$91,Lokale!$B$3:$B$91=$A882)),""))</f>
        <v/>
      </c>
      <c r="AJ882" s="13" t="str" cm="1">
        <f t="array" ref="AJ882">IF($C882="","",IFERROR(TRANSPOSE(_xlfn._xlws.FILTER(Listy!$D$2:$D$60,Listy!$C$2:$C$60=$C882)),""))</f>
        <v/>
      </c>
    </row>
    <row r="883" spans="7:36" ht="25" customHeight="1" x14ac:dyDescent="0.35">
      <c r="G883" s="15" t="str">
        <f t="shared" si="64"/>
        <v/>
      </c>
      <c r="H883" s="12" t="str">
        <f t="shared" ca="1" si="65"/>
        <v/>
      </c>
      <c r="I883" s="14"/>
      <c r="J883" s="1" t="str">
        <f>IF(COUNTA(A883:F3170)=0,"",IF(#REF!="","BRAK PROTOKOŁU","DODANY"))</f>
        <v/>
      </c>
      <c r="K883" s="1"/>
      <c r="M883" s="13" t="str" cm="1">
        <f t="array" ref="M883">IF($A883="","",IFERROR(TRANSPOSE(_xlfn._xlws.FILTER(Lokale!$C$3:$C$91,Lokale!$B$3:$B$91=$A883)),""))</f>
        <v/>
      </c>
      <c r="AJ883" s="13" t="str" cm="1">
        <f t="array" ref="AJ883">IF($C883="","",IFERROR(TRANSPOSE(_xlfn._xlws.FILTER(Listy!$D$2:$D$60,Listy!$C$2:$C$60=$C883)),""))</f>
        <v/>
      </c>
    </row>
    <row r="884" spans="7:36" ht="25" customHeight="1" x14ac:dyDescent="0.35">
      <c r="G884" s="15" t="str">
        <f t="shared" si="64"/>
        <v/>
      </c>
      <c r="H884" s="12" t="str">
        <f t="shared" ca="1" si="65"/>
        <v/>
      </c>
      <c r="I884" s="14"/>
      <c r="J884" s="1" t="str">
        <f>IF(COUNTA(A884:F3171)=0,"",IF(#REF!="","BRAK PROTOKOŁU","DODANY"))</f>
        <v/>
      </c>
      <c r="K884" s="1"/>
      <c r="M884" s="13" t="str" cm="1">
        <f t="array" ref="M884">IF($A884="","",IFERROR(TRANSPOSE(_xlfn._xlws.FILTER(Lokale!$C$3:$C$91,Lokale!$B$3:$B$91=$A884)),""))</f>
        <v/>
      </c>
      <c r="AJ884" s="13" t="str" cm="1">
        <f t="array" ref="AJ884">IF($C884="","",IFERROR(TRANSPOSE(_xlfn._xlws.FILTER(Listy!$D$2:$D$60,Listy!$C$2:$C$60=$C884)),""))</f>
        <v/>
      </c>
    </row>
    <row r="885" spans="7:36" ht="25" customHeight="1" x14ac:dyDescent="0.35">
      <c r="G885" s="15" t="str">
        <f t="shared" si="64"/>
        <v/>
      </c>
      <c r="H885" s="12" t="str">
        <f t="shared" ca="1" si="65"/>
        <v/>
      </c>
      <c r="I885" s="14"/>
      <c r="J885" s="1" t="str">
        <f>IF(COUNTA(A885:F3172)=0,"",IF(#REF!="","BRAK PROTOKOŁU","DODANY"))</f>
        <v/>
      </c>
      <c r="K885" s="1"/>
      <c r="M885" s="13" t="str" cm="1">
        <f t="array" ref="M885">IF($A885="","",IFERROR(TRANSPOSE(_xlfn._xlws.FILTER(Lokale!$C$3:$C$91,Lokale!$B$3:$B$91=$A885)),""))</f>
        <v/>
      </c>
      <c r="AJ885" s="13" t="str" cm="1">
        <f t="array" ref="AJ885">IF($C885="","",IFERROR(TRANSPOSE(_xlfn._xlws.FILTER(Listy!$D$2:$D$60,Listy!$C$2:$C$60=$C885)),""))</f>
        <v/>
      </c>
    </row>
    <row r="886" spans="7:36" ht="25" customHeight="1" x14ac:dyDescent="0.35">
      <c r="G886" s="15" t="str">
        <f t="shared" si="64"/>
        <v/>
      </c>
      <c r="H886" s="12" t="str">
        <f t="shared" ca="1" si="65"/>
        <v/>
      </c>
      <c r="I886" s="14"/>
      <c r="J886" s="1" t="str">
        <f>IF(COUNTA(A886:F3173)=0,"",IF(#REF!="","BRAK PROTOKOŁU","DODANY"))</f>
        <v/>
      </c>
      <c r="K886" s="1"/>
      <c r="M886" s="13" t="str" cm="1">
        <f t="array" ref="M886">IF($A886="","",IFERROR(TRANSPOSE(_xlfn._xlws.FILTER(Lokale!$C$3:$C$91,Lokale!$B$3:$B$91=$A886)),""))</f>
        <v/>
      </c>
      <c r="AJ886" s="13" t="str" cm="1">
        <f t="array" ref="AJ886">IF($C886="","",IFERROR(TRANSPOSE(_xlfn._xlws.FILTER(Listy!$D$2:$D$60,Listy!$C$2:$C$60=$C886)),""))</f>
        <v/>
      </c>
    </row>
    <row r="887" spans="7:36" ht="25" customHeight="1" x14ac:dyDescent="0.35">
      <c r="G887" s="15" t="str">
        <f t="shared" si="64"/>
        <v/>
      </c>
      <c r="H887" s="12" t="str">
        <f t="shared" ca="1" si="65"/>
        <v/>
      </c>
      <c r="I887" s="14"/>
      <c r="J887" s="1" t="str">
        <f>IF(COUNTA(A887:F3174)=0,"",IF(#REF!="","BRAK PROTOKOŁU","DODANY"))</f>
        <v/>
      </c>
      <c r="K887" s="1"/>
      <c r="M887" s="13" t="str" cm="1">
        <f t="array" ref="M887">IF($A887="","",IFERROR(TRANSPOSE(_xlfn._xlws.FILTER(Lokale!$C$3:$C$91,Lokale!$B$3:$B$91=$A887)),""))</f>
        <v/>
      </c>
      <c r="AJ887" s="13" t="str" cm="1">
        <f t="array" ref="AJ887">IF($C887="","",IFERROR(TRANSPOSE(_xlfn._xlws.FILTER(Listy!$D$2:$D$60,Listy!$C$2:$C$60=$C887)),""))</f>
        <v/>
      </c>
    </row>
    <row r="888" spans="7:36" ht="25" customHeight="1" x14ac:dyDescent="0.35">
      <c r="G888" s="15" t="str">
        <f t="shared" si="64"/>
        <v/>
      </c>
      <c r="H888" s="12" t="str">
        <f t="shared" ca="1" si="65"/>
        <v/>
      </c>
      <c r="I888" s="14"/>
      <c r="J888" s="1" t="str">
        <f>IF(COUNTA(A888:F3175)=0,"",IF(#REF!="","BRAK PROTOKOŁU","DODANY"))</f>
        <v/>
      </c>
      <c r="K888" s="1"/>
      <c r="M888" s="13" t="str" cm="1">
        <f t="array" ref="M888">IF($A888="","",IFERROR(TRANSPOSE(_xlfn._xlws.FILTER(Lokale!$C$3:$C$91,Lokale!$B$3:$B$91=$A888)),""))</f>
        <v/>
      </c>
      <c r="AJ888" s="13" t="str" cm="1">
        <f t="array" ref="AJ888">IF($C888="","",IFERROR(TRANSPOSE(_xlfn._xlws.FILTER(Listy!$D$2:$D$60,Listy!$C$2:$C$60=$C888)),""))</f>
        <v/>
      </c>
    </row>
    <row r="889" spans="7:36" ht="25" customHeight="1" x14ac:dyDescent="0.35">
      <c r="G889" s="15" t="str">
        <f t="shared" si="64"/>
        <v/>
      </c>
      <c r="H889" s="12" t="str">
        <f t="shared" ca="1" si="65"/>
        <v/>
      </c>
      <c r="I889" s="14"/>
      <c r="J889" s="1" t="str">
        <f>IF(COUNTA(A889:F3176)=0,"",IF(#REF!="","BRAK PROTOKOŁU","DODANY"))</f>
        <v/>
      </c>
      <c r="K889" s="1"/>
      <c r="M889" s="13" t="str" cm="1">
        <f t="array" ref="M889">IF($A889="","",IFERROR(TRANSPOSE(_xlfn._xlws.FILTER(Lokale!$C$3:$C$91,Lokale!$B$3:$B$91=$A889)),""))</f>
        <v/>
      </c>
      <c r="AJ889" s="13" t="str" cm="1">
        <f t="array" ref="AJ889">IF($C889="","",IFERROR(TRANSPOSE(_xlfn._xlws.FILTER(Listy!$D$2:$D$60,Listy!$C$2:$C$60=$C889)),""))</f>
        <v/>
      </c>
    </row>
    <row r="890" spans="7:36" ht="25" customHeight="1" x14ac:dyDescent="0.35">
      <c r="G890" s="15" t="str">
        <f t="shared" si="64"/>
        <v/>
      </c>
      <c r="H890" s="12" t="str">
        <f t="shared" ca="1" si="65"/>
        <v/>
      </c>
      <c r="I890" s="14"/>
      <c r="J890" s="1" t="str">
        <f>IF(COUNTA(A890:F3177)=0,"",IF(#REF!="","BRAK PROTOKOŁU","DODANY"))</f>
        <v/>
      </c>
      <c r="K890" s="1"/>
      <c r="M890" s="13" t="str" cm="1">
        <f t="array" ref="M890">IF($A890="","",IFERROR(TRANSPOSE(_xlfn._xlws.FILTER(Lokale!$C$3:$C$91,Lokale!$B$3:$B$91=$A890)),""))</f>
        <v/>
      </c>
      <c r="AJ890" s="13" t="str" cm="1">
        <f t="array" ref="AJ890">IF($C890="","",IFERROR(TRANSPOSE(_xlfn._xlws.FILTER(Listy!$D$2:$D$60,Listy!$C$2:$C$60=$C890)),""))</f>
        <v/>
      </c>
    </row>
    <row r="891" spans="7:36" ht="25" customHeight="1" x14ac:dyDescent="0.35">
      <c r="G891" s="15" t="str">
        <f t="shared" si="64"/>
        <v/>
      </c>
      <c r="H891" s="12" t="str">
        <f t="shared" ca="1" si="65"/>
        <v/>
      </c>
      <c r="I891" s="14"/>
      <c r="J891" s="1" t="str">
        <f>IF(COUNTA(A891:F3178)=0,"",IF(#REF!="","BRAK PROTOKOŁU","DODANY"))</f>
        <v/>
      </c>
      <c r="K891" s="1"/>
      <c r="M891" s="13" t="str" cm="1">
        <f t="array" ref="M891">IF($A891="","",IFERROR(TRANSPOSE(_xlfn._xlws.FILTER(Lokale!$C$3:$C$91,Lokale!$B$3:$B$91=$A891)),""))</f>
        <v/>
      </c>
      <c r="AJ891" s="13" t="str" cm="1">
        <f t="array" ref="AJ891">IF($C891="","",IFERROR(TRANSPOSE(_xlfn._xlws.FILTER(Listy!$D$2:$D$60,Listy!$C$2:$C$60=$C891)),""))</f>
        <v/>
      </c>
    </row>
    <row r="892" spans="7:36" ht="25" customHeight="1" x14ac:dyDescent="0.35">
      <c r="G892" s="15" t="str">
        <f t="shared" si="64"/>
        <v/>
      </c>
      <c r="H892" s="12" t="str">
        <f t="shared" ca="1" si="65"/>
        <v/>
      </c>
      <c r="I892" s="14"/>
      <c r="J892" s="1" t="str">
        <f>IF(COUNTA(A892:F3179)=0,"",IF(#REF!="","BRAK PROTOKOŁU","DODANY"))</f>
        <v/>
      </c>
      <c r="K892" s="1"/>
      <c r="M892" s="13" t="str" cm="1">
        <f t="array" ref="M892">IF($A892="","",IFERROR(TRANSPOSE(_xlfn._xlws.FILTER(Lokale!$C$3:$C$91,Lokale!$B$3:$B$91=$A892)),""))</f>
        <v/>
      </c>
      <c r="AJ892" s="13" t="str" cm="1">
        <f t="array" ref="AJ892">IF($C892="","",IFERROR(TRANSPOSE(_xlfn._xlws.FILTER(Listy!$D$2:$D$60,Listy!$C$2:$C$60=$C892)),""))</f>
        <v/>
      </c>
    </row>
    <row r="893" spans="7:36" ht="25" customHeight="1" x14ac:dyDescent="0.35">
      <c r="G893" s="15" t="str">
        <f t="shared" si="64"/>
        <v/>
      </c>
      <c r="H893" s="12" t="str">
        <f t="shared" ca="1" si="65"/>
        <v/>
      </c>
      <c r="I893" s="14"/>
      <c r="J893" s="1" t="str">
        <f>IF(COUNTA(A893:F3180)=0,"",IF(#REF!="","BRAK PROTOKOŁU","DODANY"))</f>
        <v/>
      </c>
      <c r="K893" s="1"/>
      <c r="M893" s="13" t="str" cm="1">
        <f t="array" ref="M893">IF($A893="","",IFERROR(TRANSPOSE(_xlfn._xlws.FILTER(Lokale!$C$3:$C$91,Lokale!$B$3:$B$91=$A893)),""))</f>
        <v/>
      </c>
      <c r="AJ893" s="13" t="str" cm="1">
        <f t="array" ref="AJ893">IF($C893="","",IFERROR(TRANSPOSE(_xlfn._xlws.FILTER(Listy!$D$2:$D$60,Listy!$C$2:$C$60=$C893)),""))</f>
        <v/>
      </c>
    </row>
    <row r="894" spans="7:36" ht="25" customHeight="1" x14ac:dyDescent="0.35">
      <c r="G894" s="15" t="str">
        <f t="shared" si="64"/>
        <v/>
      </c>
      <c r="H894" s="12" t="str">
        <f t="shared" ca="1" si="65"/>
        <v/>
      </c>
      <c r="I894" s="14"/>
      <c r="J894" s="1" t="str">
        <f>IF(COUNTA(A894:F3181)=0,"",IF(#REF!="","BRAK PROTOKOŁU","DODANY"))</f>
        <v/>
      </c>
      <c r="K894" s="1"/>
      <c r="M894" s="13" t="str" cm="1">
        <f t="array" ref="M894">IF($A894="","",IFERROR(TRANSPOSE(_xlfn._xlws.FILTER(Lokale!$C$3:$C$91,Lokale!$B$3:$B$91=$A894)),""))</f>
        <v/>
      </c>
      <c r="AJ894" s="13" t="str" cm="1">
        <f t="array" ref="AJ894">IF($C894="","",IFERROR(TRANSPOSE(_xlfn._xlws.FILTER(Listy!$D$2:$D$60,Listy!$C$2:$C$60=$C894)),""))</f>
        <v/>
      </c>
    </row>
    <row r="895" spans="7:36" ht="25" customHeight="1" x14ac:dyDescent="0.35">
      <c r="G895" s="15" t="str">
        <f t="shared" si="64"/>
        <v/>
      </c>
      <c r="H895" s="12" t="str">
        <f t="shared" ca="1" si="65"/>
        <v/>
      </c>
      <c r="I895" s="14"/>
      <c r="J895" s="1" t="str">
        <f>IF(COUNTA(A895:F3182)=0,"",IF(#REF!="","BRAK PROTOKOŁU","DODANY"))</f>
        <v/>
      </c>
      <c r="K895" s="1"/>
      <c r="M895" s="13" t="str" cm="1">
        <f t="array" ref="M895">IF($A895="","",IFERROR(TRANSPOSE(_xlfn._xlws.FILTER(Lokale!$C$3:$C$91,Lokale!$B$3:$B$91=$A895)),""))</f>
        <v/>
      </c>
      <c r="AJ895" s="13" t="str" cm="1">
        <f t="array" ref="AJ895">IF($C895="","",IFERROR(TRANSPOSE(_xlfn._xlws.FILTER(Listy!$D$2:$D$60,Listy!$C$2:$C$60=$C895)),""))</f>
        <v/>
      </c>
    </row>
    <row r="896" spans="7:36" ht="25" customHeight="1" x14ac:dyDescent="0.35">
      <c r="G896" s="15" t="str">
        <f t="shared" si="64"/>
        <v/>
      </c>
      <c r="H896" s="12" t="str">
        <f t="shared" ca="1" si="65"/>
        <v/>
      </c>
      <c r="I896" s="14"/>
      <c r="J896" s="1" t="str">
        <f>IF(COUNTA(A896:F3183)=0,"",IF(#REF!="","BRAK PROTOKOŁU","DODANY"))</f>
        <v/>
      </c>
      <c r="K896" s="1"/>
      <c r="M896" s="13" t="str" cm="1">
        <f t="array" ref="M896">IF($A896="","",IFERROR(TRANSPOSE(_xlfn._xlws.FILTER(Lokale!$C$3:$C$91,Lokale!$B$3:$B$91=$A896)),""))</f>
        <v/>
      </c>
      <c r="AJ896" s="13" t="str" cm="1">
        <f t="array" ref="AJ896">IF($C896="","",IFERROR(TRANSPOSE(_xlfn._xlws.FILTER(Listy!$D$2:$D$60,Listy!$C$2:$C$60=$C896)),""))</f>
        <v/>
      </c>
    </row>
    <row r="897" spans="7:36" ht="25" customHeight="1" x14ac:dyDescent="0.35">
      <c r="G897" s="15" t="str">
        <f t="shared" si="64"/>
        <v/>
      </c>
      <c r="H897" s="12" t="str">
        <f t="shared" ca="1" si="65"/>
        <v/>
      </c>
      <c r="I897" s="14"/>
      <c r="J897" s="1" t="str">
        <f>IF(COUNTA(A897:F3184)=0,"",IF(#REF!="","BRAK PROTOKOŁU","DODANY"))</f>
        <v/>
      </c>
      <c r="K897" s="1"/>
      <c r="M897" s="13" t="str" cm="1">
        <f t="array" ref="M897">IF($A897="","",IFERROR(TRANSPOSE(_xlfn._xlws.FILTER(Lokale!$C$3:$C$91,Lokale!$B$3:$B$91=$A897)),""))</f>
        <v/>
      </c>
      <c r="AJ897" s="13" t="str" cm="1">
        <f t="array" ref="AJ897">IF($C897="","",IFERROR(TRANSPOSE(_xlfn._xlws.FILTER(Listy!$D$2:$D$60,Listy!$C$2:$C$60=$C897)),""))</f>
        <v/>
      </c>
    </row>
    <row r="898" spans="7:36" ht="25" customHeight="1" x14ac:dyDescent="0.35">
      <c r="G898" s="15" t="str">
        <f t="shared" si="64"/>
        <v/>
      </c>
      <c r="H898" s="12" t="str">
        <f t="shared" ca="1" si="65"/>
        <v/>
      </c>
      <c r="I898" s="14"/>
      <c r="J898" s="1" t="str">
        <f>IF(COUNTA(A898:F3185)=0,"",IF(#REF!="","BRAK PROTOKOŁU","DODANY"))</f>
        <v/>
      </c>
      <c r="K898" s="1"/>
      <c r="M898" s="13" t="str" cm="1">
        <f t="array" ref="M898">IF($A898="","",IFERROR(TRANSPOSE(_xlfn._xlws.FILTER(Lokale!$C$3:$C$91,Lokale!$B$3:$B$91=$A898)),""))</f>
        <v/>
      </c>
      <c r="AJ898" s="13" t="str" cm="1">
        <f t="array" ref="AJ898">IF($C898="","",IFERROR(TRANSPOSE(_xlfn._xlws.FILTER(Listy!$D$2:$D$60,Listy!$C$2:$C$60=$C898)),""))</f>
        <v/>
      </c>
    </row>
    <row r="899" spans="7:36" ht="25" customHeight="1" x14ac:dyDescent="0.35">
      <c r="G899" s="15" t="str">
        <f t="shared" si="64"/>
        <v/>
      </c>
      <c r="H899" s="12" t="str">
        <f t="shared" ca="1" si="65"/>
        <v/>
      </c>
      <c r="I899" s="14"/>
      <c r="J899" s="1" t="str">
        <f>IF(COUNTA(A899:F3186)=0,"",IF(#REF!="","BRAK PROTOKOŁU","DODANY"))</f>
        <v/>
      </c>
      <c r="K899" s="1"/>
      <c r="M899" s="13" t="str" cm="1">
        <f t="array" ref="M899">IF($A899="","",IFERROR(TRANSPOSE(_xlfn._xlws.FILTER(Lokale!$C$3:$C$91,Lokale!$B$3:$B$91=$A899)),""))</f>
        <v/>
      </c>
      <c r="AJ899" s="13" t="str" cm="1">
        <f t="array" ref="AJ899">IF($C899="","",IFERROR(TRANSPOSE(_xlfn._xlws.FILTER(Listy!$D$2:$D$60,Listy!$C$2:$C$60=$C899)),""))</f>
        <v/>
      </c>
    </row>
    <row r="900" spans="7:36" ht="25" customHeight="1" x14ac:dyDescent="0.35">
      <c r="G900" s="15" t="str">
        <f t="shared" si="64"/>
        <v/>
      </c>
      <c r="H900" s="12" t="str">
        <f t="shared" ca="1" si="65"/>
        <v/>
      </c>
      <c r="I900" s="14"/>
      <c r="J900" s="1" t="str">
        <f>IF(COUNTA(A900:F3187)=0,"",IF(#REF!="","BRAK PROTOKOŁU","DODANY"))</f>
        <v/>
      </c>
      <c r="K900" s="1"/>
      <c r="M900" s="13" t="str" cm="1">
        <f t="array" ref="M900">IF($A900="","",IFERROR(TRANSPOSE(_xlfn._xlws.FILTER(Lokale!$C$3:$C$91,Lokale!$B$3:$B$91=$A900)),""))</f>
        <v/>
      </c>
      <c r="AJ900" s="13" t="str" cm="1">
        <f t="array" ref="AJ900">IF($C900="","",IFERROR(TRANSPOSE(_xlfn._xlws.FILTER(Listy!$D$2:$D$60,Listy!$C$2:$C$60=$C900)),""))</f>
        <v/>
      </c>
    </row>
    <row r="901" spans="7:36" ht="25" customHeight="1" x14ac:dyDescent="0.35">
      <c r="G901" s="15" t="str">
        <f t="shared" si="64"/>
        <v/>
      </c>
      <c r="H901" s="12" t="str">
        <f t="shared" ca="1" si="65"/>
        <v/>
      </c>
      <c r="I901" s="14"/>
      <c r="J901" s="1" t="str">
        <f>IF(COUNTA(A901:F3188)=0,"",IF(#REF!="","BRAK PROTOKOŁU","DODANY"))</f>
        <v/>
      </c>
      <c r="K901" s="1"/>
      <c r="M901" s="13" t="str" cm="1">
        <f t="array" ref="M901">IF($A901="","",IFERROR(TRANSPOSE(_xlfn._xlws.FILTER(Lokale!$C$3:$C$91,Lokale!$B$3:$B$91=$A901)),""))</f>
        <v/>
      </c>
      <c r="AJ901" s="13" t="str" cm="1">
        <f t="array" ref="AJ901">IF($C901="","",IFERROR(TRANSPOSE(_xlfn._xlws.FILTER(Listy!$D$2:$D$60,Listy!$C$2:$C$60=$C901)),""))</f>
        <v/>
      </c>
    </row>
    <row r="902" spans="7:36" ht="25" customHeight="1" x14ac:dyDescent="0.35">
      <c r="G902" s="15" t="str">
        <f t="shared" si="64"/>
        <v/>
      </c>
      <c r="H902" s="12" t="str">
        <f t="shared" ca="1" si="65"/>
        <v/>
      </c>
      <c r="I902" s="14"/>
      <c r="J902" s="1" t="str">
        <f>IF(COUNTA(A902:F3189)=0,"",IF(#REF!="","BRAK PROTOKOŁU","DODANY"))</f>
        <v/>
      </c>
      <c r="K902" s="1"/>
      <c r="M902" s="13" t="str" cm="1">
        <f t="array" ref="M902">IF($A902="","",IFERROR(TRANSPOSE(_xlfn._xlws.FILTER(Lokale!$C$3:$C$91,Lokale!$B$3:$B$91=$A902)),""))</f>
        <v/>
      </c>
      <c r="AJ902" s="13" t="str" cm="1">
        <f t="array" ref="AJ902">IF($C902="","",IFERROR(TRANSPOSE(_xlfn._xlws.FILTER(Listy!$D$2:$D$60,Listy!$C$2:$C$60=$C902)),""))</f>
        <v/>
      </c>
    </row>
    <row r="903" spans="7:36" ht="25" customHeight="1" x14ac:dyDescent="0.35">
      <c r="G903" s="15" t="str">
        <f t="shared" si="64"/>
        <v/>
      </c>
      <c r="H903" s="12" t="str">
        <f t="shared" ca="1" si="65"/>
        <v/>
      </c>
      <c r="I903" s="14"/>
      <c r="J903" s="1" t="str">
        <f>IF(COUNTA(A903:F3190)=0,"",IF(#REF!="","BRAK PROTOKOŁU","DODANY"))</f>
        <v/>
      </c>
      <c r="K903" s="1"/>
      <c r="M903" s="13" t="str" cm="1">
        <f t="array" ref="M903">IF($A903="","",IFERROR(TRANSPOSE(_xlfn._xlws.FILTER(Lokale!$C$3:$C$91,Lokale!$B$3:$B$91=$A903)),""))</f>
        <v/>
      </c>
      <c r="AJ903" s="13" t="str" cm="1">
        <f t="array" ref="AJ903">IF($C903="","",IFERROR(TRANSPOSE(_xlfn._xlws.FILTER(Listy!$D$2:$D$60,Listy!$C$2:$C$60=$C903)),""))</f>
        <v/>
      </c>
    </row>
    <row r="904" spans="7:36" ht="25" customHeight="1" x14ac:dyDescent="0.35">
      <c r="G904" s="15" t="str">
        <f t="shared" si="64"/>
        <v/>
      </c>
      <c r="H904" s="12" t="str">
        <f t="shared" ca="1" si="65"/>
        <v/>
      </c>
      <c r="I904" s="14"/>
      <c r="J904" s="1" t="str">
        <f>IF(COUNTA(A904:F3191)=0,"",IF(#REF!="","BRAK PROTOKOŁU","DODANY"))</f>
        <v/>
      </c>
      <c r="K904" s="1"/>
      <c r="M904" s="13" t="str" cm="1">
        <f t="array" ref="M904">IF($A904="","",IFERROR(TRANSPOSE(_xlfn._xlws.FILTER(Lokale!$C$3:$C$91,Lokale!$B$3:$B$91=$A904)),""))</f>
        <v/>
      </c>
      <c r="AJ904" s="13" t="str" cm="1">
        <f t="array" ref="AJ904">IF($C904="","",IFERROR(TRANSPOSE(_xlfn._xlws.FILTER(Listy!$D$2:$D$60,Listy!$C$2:$C$60=$C904)),""))</f>
        <v/>
      </c>
    </row>
    <row r="905" spans="7:36" ht="25" customHeight="1" x14ac:dyDescent="0.35">
      <c r="G905" s="15" t="str">
        <f t="shared" si="64"/>
        <v/>
      </c>
      <c r="H905" s="12" t="str">
        <f t="shared" ca="1" si="65"/>
        <v/>
      </c>
      <c r="I905" s="14"/>
      <c r="J905" s="1" t="str">
        <f>IF(COUNTA(A905:F3192)=0,"",IF(#REF!="","BRAK PROTOKOŁU","DODANY"))</f>
        <v/>
      </c>
      <c r="K905" s="1"/>
      <c r="M905" s="13" t="str" cm="1">
        <f t="array" ref="M905">IF($A905="","",IFERROR(TRANSPOSE(_xlfn._xlws.FILTER(Lokale!$C$3:$C$91,Lokale!$B$3:$B$91=$A905)),""))</f>
        <v/>
      </c>
      <c r="AJ905" s="13" t="str" cm="1">
        <f t="array" ref="AJ905">IF($C905="","",IFERROR(TRANSPOSE(_xlfn._xlws.FILTER(Listy!$D$2:$D$60,Listy!$C$2:$C$60=$C905)),""))</f>
        <v/>
      </c>
    </row>
    <row r="906" spans="7:36" ht="25" customHeight="1" x14ac:dyDescent="0.35">
      <c r="G906" s="15" t="str">
        <f t="shared" si="64"/>
        <v/>
      </c>
      <c r="H906" s="12" t="str">
        <f t="shared" ca="1" si="65"/>
        <v/>
      </c>
      <c r="I906" s="14"/>
      <c r="J906" s="1" t="str">
        <f>IF(COUNTA(A906:F3193)=0,"",IF(#REF!="","BRAK PROTOKOŁU","DODANY"))</f>
        <v/>
      </c>
      <c r="K906" s="1"/>
      <c r="M906" s="13" t="str" cm="1">
        <f t="array" ref="M906">IF($A906="","",IFERROR(TRANSPOSE(_xlfn._xlws.FILTER(Lokale!$C$3:$C$91,Lokale!$B$3:$B$91=$A906)),""))</f>
        <v/>
      </c>
      <c r="AJ906" s="13" t="str" cm="1">
        <f t="array" ref="AJ906">IF($C906="","",IFERROR(TRANSPOSE(_xlfn._xlws.FILTER(Listy!$D$2:$D$60,Listy!$C$2:$C$60=$C906)),""))</f>
        <v/>
      </c>
    </row>
    <row r="907" spans="7:36" ht="25" customHeight="1" x14ac:dyDescent="0.35">
      <c r="G907" s="15" t="str">
        <f t="shared" si="64"/>
        <v/>
      </c>
      <c r="H907" s="12" t="str">
        <f t="shared" ca="1" si="65"/>
        <v/>
      </c>
      <c r="I907" s="14"/>
      <c r="J907" s="1" t="str">
        <f>IF(COUNTA(A907:F3194)=0,"",IF(#REF!="","BRAK PROTOKOŁU","DODANY"))</f>
        <v/>
      </c>
      <c r="K907" s="1"/>
      <c r="M907" s="13" t="str" cm="1">
        <f t="array" ref="M907">IF($A907="","",IFERROR(TRANSPOSE(_xlfn._xlws.FILTER(Lokale!$C$3:$C$91,Lokale!$B$3:$B$91=$A907)),""))</f>
        <v/>
      </c>
      <c r="AJ907" s="13" t="str" cm="1">
        <f t="array" ref="AJ907">IF($C907="","",IFERROR(TRANSPOSE(_xlfn._xlws.FILTER(Listy!$D$2:$D$60,Listy!$C$2:$C$60=$C907)),""))</f>
        <v/>
      </c>
    </row>
    <row r="908" spans="7:36" ht="25" customHeight="1" x14ac:dyDescent="0.35">
      <c r="G908" s="15" t="str">
        <f t="shared" si="64"/>
        <v/>
      </c>
      <c r="H908" s="12" t="str">
        <f t="shared" ca="1" si="65"/>
        <v/>
      </c>
      <c r="I908" s="14"/>
      <c r="J908" s="1" t="str">
        <f>IF(COUNTA(A908:F3195)=0,"",IF(#REF!="","BRAK PROTOKOŁU","DODANY"))</f>
        <v/>
      </c>
      <c r="K908" s="1"/>
      <c r="M908" s="13" t="str" cm="1">
        <f t="array" ref="M908">IF($A908="","",IFERROR(TRANSPOSE(_xlfn._xlws.FILTER(Lokale!$C$3:$C$91,Lokale!$B$3:$B$91=$A908)),""))</f>
        <v/>
      </c>
      <c r="AJ908" s="13" t="str" cm="1">
        <f t="array" ref="AJ908">IF($C908="","",IFERROR(TRANSPOSE(_xlfn._xlws.FILTER(Listy!$D$2:$D$60,Listy!$C$2:$C$60=$C908)),""))</f>
        <v/>
      </c>
    </row>
    <row r="909" spans="7:36" ht="25" customHeight="1" x14ac:dyDescent="0.35">
      <c r="G909" s="15" t="str">
        <f t="shared" si="64"/>
        <v/>
      </c>
      <c r="H909" s="12" t="str">
        <f t="shared" ca="1" si="65"/>
        <v/>
      </c>
      <c r="I909" s="14"/>
      <c r="J909" s="1" t="str">
        <f>IF(COUNTA(A909:F3196)=0,"",IF(#REF!="","BRAK PROTOKOŁU","DODANY"))</f>
        <v/>
      </c>
      <c r="K909" s="1"/>
      <c r="M909" s="13" t="str" cm="1">
        <f t="array" ref="M909">IF($A909="","",IFERROR(TRANSPOSE(_xlfn._xlws.FILTER(Lokale!$C$3:$C$91,Lokale!$B$3:$B$91=$A909)),""))</f>
        <v/>
      </c>
      <c r="AJ909" s="13" t="str" cm="1">
        <f t="array" ref="AJ909">IF($C909="","",IFERROR(TRANSPOSE(_xlfn._xlws.FILTER(Listy!$D$2:$D$60,Listy!$C$2:$C$60=$C909)),""))</f>
        <v/>
      </c>
    </row>
    <row r="910" spans="7:36" ht="25" customHeight="1" x14ac:dyDescent="0.35">
      <c r="G910" s="15" t="str">
        <f t="shared" si="64"/>
        <v/>
      </c>
      <c r="H910" s="12" t="str">
        <f t="shared" ca="1" si="65"/>
        <v/>
      </c>
      <c r="I910" s="14"/>
      <c r="J910" s="1" t="str">
        <f>IF(COUNTA(A910:F3197)=0,"",IF(#REF!="","BRAK PROTOKOŁU","DODANY"))</f>
        <v/>
      </c>
      <c r="K910" s="1"/>
      <c r="M910" s="13" t="str" cm="1">
        <f t="array" ref="M910">IF($A910="","",IFERROR(TRANSPOSE(_xlfn._xlws.FILTER(Lokale!$C$3:$C$91,Lokale!$B$3:$B$91=$A910)),""))</f>
        <v/>
      </c>
      <c r="AJ910" s="13" t="str" cm="1">
        <f t="array" ref="AJ910">IF($C910="","",IFERROR(TRANSPOSE(_xlfn._xlws.FILTER(Listy!$D$2:$D$60,Listy!$C$2:$C$60=$C910)),""))</f>
        <v/>
      </c>
    </row>
    <row r="911" spans="7:36" ht="25" customHeight="1" x14ac:dyDescent="0.35">
      <c r="G911" s="15" t="str">
        <f t="shared" si="64"/>
        <v/>
      </c>
      <c r="H911" s="12" t="str">
        <f t="shared" ca="1" si="65"/>
        <v/>
      </c>
      <c r="I911" s="14"/>
      <c r="J911" s="1" t="str">
        <f>IF(COUNTA(A911:F3198)=0,"",IF(#REF!="","BRAK PROTOKOŁU","DODANY"))</f>
        <v/>
      </c>
      <c r="K911" s="1"/>
      <c r="M911" s="13" t="str" cm="1">
        <f t="array" ref="M911">IF($A911="","",IFERROR(TRANSPOSE(_xlfn._xlws.FILTER(Lokale!$C$3:$C$91,Lokale!$B$3:$B$91=$A911)),""))</f>
        <v/>
      </c>
      <c r="AJ911" s="13" t="str" cm="1">
        <f t="array" ref="AJ911">IF($C911="","",IFERROR(TRANSPOSE(_xlfn._xlws.FILTER(Listy!$D$2:$D$60,Listy!$C$2:$C$60=$C911)),""))</f>
        <v/>
      </c>
    </row>
    <row r="912" spans="7:36" ht="25" customHeight="1" x14ac:dyDescent="0.35">
      <c r="G912" s="15" t="str">
        <f t="shared" si="64"/>
        <v/>
      </c>
      <c r="H912" s="12" t="str">
        <f t="shared" ca="1" si="65"/>
        <v/>
      </c>
      <c r="I912" s="14"/>
      <c r="J912" s="1" t="str">
        <f>IF(COUNTA(A912:F3199)=0,"",IF(#REF!="","BRAK PROTOKOŁU","DODANY"))</f>
        <v/>
      </c>
      <c r="K912" s="1"/>
      <c r="M912" s="13" t="str" cm="1">
        <f t="array" ref="M912">IF($A912="","",IFERROR(TRANSPOSE(_xlfn._xlws.FILTER(Lokale!$C$3:$C$91,Lokale!$B$3:$B$91=$A912)),""))</f>
        <v/>
      </c>
      <c r="AJ912" s="13" t="str" cm="1">
        <f t="array" ref="AJ912">IF($C912="","",IFERROR(TRANSPOSE(_xlfn._xlws.FILTER(Listy!$D$2:$D$60,Listy!$C$2:$C$60=$C912)),""))</f>
        <v/>
      </c>
    </row>
    <row r="913" spans="7:36" ht="25" customHeight="1" x14ac:dyDescent="0.35">
      <c r="G913" s="15" t="str">
        <f t="shared" si="64"/>
        <v/>
      </c>
      <c r="H913" s="12" t="str">
        <f t="shared" ca="1" si="65"/>
        <v/>
      </c>
      <c r="I913" s="14"/>
      <c r="J913" s="1" t="str">
        <f>IF(COUNTA(A913:F3200)=0,"",IF(#REF!="","BRAK PROTOKOŁU","DODANY"))</f>
        <v/>
      </c>
      <c r="K913" s="1"/>
      <c r="M913" s="13" t="str" cm="1">
        <f t="array" ref="M913">IF($A913="","",IFERROR(TRANSPOSE(_xlfn._xlws.FILTER(Lokale!$C$3:$C$91,Lokale!$B$3:$B$91=$A913)),""))</f>
        <v/>
      </c>
      <c r="AJ913" s="13" t="str" cm="1">
        <f t="array" ref="AJ913">IF($C913="","",IFERROR(TRANSPOSE(_xlfn._xlws.FILTER(Listy!$D$2:$D$60,Listy!$C$2:$C$60=$C913)),""))</f>
        <v/>
      </c>
    </row>
    <row r="914" spans="7:36" ht="25" customHeight="1" x14ac:dyDescent="0.35">
      <c r="G914" s="15" t="str">
        <f t="shared" si="64"/>
        <v/>
      </c>
      <c r="H914" s="12" t="str">
        <f t="shared" ca="1" si="65"/>
        <v/>
      </c>
      <c r="I914" s="14"/>
      <c r="J914" s="1" t="str">
        <f>IF(COUNTA(A914:F3201)=0,"",IF(#REF!="","BRAK PROTOKOŁU","DODANY"))</f>
        <v/>
      </c>
      <c r="K914" s="1"/>
      <c r="M914" s="13" t="str" cm="1">
        <f t="array" ref="M914">IF($A914="","",IFERROR(TRANSPOSE(_xlfn._xlws.FILTER(Lokale!$C$3:$C$91,Lokale!$B$3:$B$91=$A914)),""))</f>
        <v/>
      </c>
      <c r="AJ914" s="13" t="str" cm="1">
        <f t="array" ref="AJ914">IF($C914="","",IFERROR(TRANSPOSE(_xlfn._xlws.FILTER(Listy!$D$2:$D$60,Listy!$C$2:$C$60=$C914)),""))</f>
        <v/>
      </c>
    </row>
    <row r="915" spans="7:36" ht="25" customHeight="1" x14ac:dyDescent="0.35">
      <c r="G915" s="15" t="str">
        <f t="shared" si="64"/>
        <v/>
      </c>
      <c r="H915" s="12" t="str">
        <f t="shared" ca="1" si="65"/>
        <v/>
      </c>
      <c r="I915" s="14"/>
      <c r="J915" s="1" t="str">
        <f>IF(COUNTA(A915:F3202)=0,"",IF(#REF!="","BRAK PROTOKOŁU","DODANY"))</f>
        <v/>
      </c>
      <c r="K915" s="1"/>
      <c r="M915" s="13" t="str" cm="1">
        <f t="array" ref="M915">IF($A915="","",IFERROR(TRANSPOSE(_xlfn._xlws.FILTER(Lokale!$C$3:$C$91,Lokale!$B$3:$B$91=$A915)),""))</f>
        <v/>
      </c>
      <c r="AJ915" s="13" t="str" cm="1">
        <f t="array" ref="AJ915">IF($C915="","",IFERROR(TRANSPOSE(_xlfn._xlws.FILTER(Listy!$D$2:$D$60,Listy!$C$2:$C$60=$C915)),""))</f>
        <v/>
      </c>
    </row>
    <row r="916" spans="7:36" ht="25" customHeight="1" x14ac:dyDescent="0.35">
      <c r="G916" s="15" t="str">
        <f t="shared" si="64"/>
        <v/>
      </c>
      <c r="H916" s="12" t="str">
        <f t="shared" ca="1" si="65"/>
        <v/>
      </c>
      <c r="I916" s="14"/>
      <c r="J916" s="1" t="str">
        <f>IF(COUNTA(A916:F3203)=0,"",IF(#REF!="","BRAK PROTOKOŁU","DODANY"))</f>
        <v/>
      </c>
      <c r="K916" s="1"/>
      <c r="M916" s="13" t="str" cm="1">
        <f t="array" ref="M916">IF($A916="","",IFERROR(TRANSPOSE(_xlfn._xlws.FILTER(Lokale!$C$3:$C$91,Lokale!$B$3:$B$91=$A916)),""))</f>
        <v/>
      </c>
      <c r="AJ916" s="13" t="str" cm="1">
        <f t="array" ref="AJ916">IF($C916="","",IFERROR(TRANSPOSE(_xlfn._xlws.FILTER(Listy!$D$2:$D$60,Listy!$C$2:$C$60=$C916)),""))</f>
        <v/>
      </c>
    </row>
    <row r="917" spans="7:36" ht="25" customHeight="1" x14ac:dyDescent="0.35">
      <c r="G917" s="15" t="str">
        <f t="shared" si="64"/>
        <v/>
      </c>
      <c r="H917" s="12" t="str">
        <f t="shared" ca="1" si="65"/>
        <v/>
      </c>
      <c r="I917" s="14"/>
      <c r="J917" s="1" t="str">
        <f>IF(COUNTA(A917:F3204)=0,"",IF(#REF!="","BRAK PROTOKOŁU","DODANY"))</f>
        <v/>
      </c>
      <c r="K917" s="1"/>
      <c r="M917" s="13" t="str" cm="1">
        <f t="array" ref="M917">IF($A917="","",IFERROR(TRANSPOSE(_xlfn._xlws.FILTER(Lokale!$C$3:$C$91,Lokale!$B$3:$B$91=$A917)),""))</f>
        <v/>
      </c>
      <c r="AJ917" s="13" t="str" cm="1">
        <f t="array" ref="AJ917">IF($C917="","",IFERROR(TRANSPOSE(_xlfn._xlws.FILTER(Listy!$D$2:$D$60,Listy!$C$2:$C$60=$C917)),""))</f>
        <v/>
      </c>
    </row>
    <row r="918" spans="7:36" ht="25" customHeight="1" x14ac:dyDescent="0.35">
      <c r="G918" s="15" t="str">
        <f t="shared" si="64"/>
        <v/>
      </c>
      <c r="H918" s="12" t="str">
        <f t="shared" ca="1" si="65"/>
        <v/>
      </c>
      <c r="I918" s="14"/>
      <c r="J918" s="1" t="str">
        <f>IF(COUNTA(A918:F3205)=0,"",IF(#REF!="","BRAK PROTOKOŁU","DODANY"))</f>
        <v/>
      </c>
      <c r="K918" s="1"/>
      <c r="M918" s="13" t="str" cm="1">
        <f t="array" ref="M918">IF($A918="","",IFERROR(TRANSPOSE(_xlfn._xlws.FILTER(Lokale!$C$3:$C$91,Lokale!$B$3:$B$91=$A918)),""))</f>
        <v/>
      </c>
      <c r="AJ918" s="13" t="str" cm="1">
        <f t="array" ref="AJ918">IF($C918="","",IFERROR(TRANSPOSE(_xlfn._xlws.FILTER(Listy!$D$2:$D$60,Listy!$C$2:$C$60=$C918)),""))</f>
        <v/>
      </c>
    </row>
    <row r="919" spans="7:36" ht="25" customHeight="1" x14ac:dyDescent="0.35">
      <c r="G919" s="15" t="str">
        <f t="shared" si="64"/>
        <v/>
      </c>
      <c r="H919" s="12" t="str">
        <f t="shared" ca="1" si="65"/>
        <v/>
      </c>
      <c r="I919" s="14"/>
      <c r="J919" s="1" t="str">
        <f>IF(COUNTA(A919:F3206)=0,"",IF(#REF!="","BRAK PROTOKOŁU","DODANY"))</f>
        <v/>
      </c>
      <c r="K919" s="1"/>
      <c r="M919" s="13" t="str" cm="1">
        <f t="array" ref="M919">IF($A919="","",IFERROR(TRANSPOSE(_xlfn._xlws.FILTER(Lokale!$C$3:$C$91,Lokale!$B$3:$B$91=$A919)),""))</f>
        <v/>
      </c>
      <c r="AJ919" s="13" t="str" cm="1">
        <f t="array" ref="AJ919">IF($C919="","",IFERROR(TRANSPOSE(_xlfn._xlws.FILTER(Listy!$D$2:$D$60,Listy!$C$2:$C$60=$C919)),""))</f>
        <v/>
      </c>
    </row>
    <row r="920" spans="7:36" ht="25" customHeight="1" x14ac:dyDescent="0.35">
      <c r="G920" s="15" t="str">
        <f t="shared" si="64"/>
        <v/>
      </c>
      <c r="H920" s="12" t="str">
        <f t="shared" ca="1" si="65"/>
        <v/>
      </c>
      <c r="I920" s="14"/>
      <c r="J920" s="1" t="str">
        <f>IF(COUNTA(A920:F3207)=0,"",IF(#REF!="","BRAK PROTOKOŁU","DODANY"))</f>
        <v/>
      </c>
      <c r="K920" s="1"/>
      <c r="M920" s="13" t="str" cm="1">
        <f t="array" ref="M920">IF($A920="","",IFERROR(TRANSPOSE(_xlfn._xlws.FILTER(Lokale!$C$3:$C$91,Lokale!$B$3:$B$91=$A920)),""))</f>
        <v/>
      </c>
      <c r="AJ920" s="13" t="str" cm="1">
        <f t="array" ref="AJ920">IF($C920="","",IFERROR(TRANSPOSE(_xlfn._xlws.FILTER(Listy!$D$2:$D$60,Listy!$C$2:$C$60=$C920)),""))</f>
        <v/>
      </c>
    </row>
    <row r="921" spans="7:36" ht="25" customHeight="1" x14ac:dyDescent="0.35">
      <c r="G921" s="15" t="str">
        <f t="shared" si="64"/>
        <v/>
      </c>
      <c r="H921" s="12" t="str">
        <f t="shared" ca="1" si="65"/>
        <v/>
      </c>
      <c r="I921" s="14"/>
      <c r="J921" s="1" t="str">
        <f>IF(COUNTA(A921:F3208)=0,"",IF(#REF!="","BRAK PROTOKOŁU","DODANY"))</f>
        <v/>
      </c>
      <c r="K921" s="1"/>
      <c r="M921" s="13" t="str" cm="1">
        <f t="array" ref="M921">IF($A921="","",IFERROR(TRANSPOSE(_xlfn._xlws.FILTER(Lokale!$C$3:$C$91,Lokale!$B$3:$B$91=$A921)),""))</f>
        <v/>
      </c>
      <c r="AJ921" s="13" t="str" cm="1">
        <f t="array" ref="AJ921">IF($C921="","",IFERROR(TRANSPOSE(_xlfn._xlws.FILTER(Listy!$D$2:$D$60,Listy!$C$2:$C$60=$C921)),""))</f>
        <v/>
      </c>
    </row>
    <row r="922" spans="7:36" ht="25" customHeight="1" x14ac:dyDescent="0.35">
      <c r="G922" s="15" t="str">
        <f t="shared" si="64"/>
        <v/>
      </c>
      <c r="H922" s="12" t="str">
        <f t="shared" ca="1" si="65"/>
        <v/>
      </c>
      <c r="I922" s="14"/>
      <c r="J922" s="1" t="str">
        <f>IF(COUNTA(A922:F3209)=0,"",IF(#REF!="","BRAK PROTOKOŁU","DODANY"))</f>
        <v/>
      </c>
      <c r="K922" s="1"/>
      <c r="M922" s="13" t="str" cm="1">
        <f t="array" ref="M922">IF($A922="","",IFERROR(TRANSPOSE(_xlfn._xlws.FILTER(Lokale!$C$3:$C$91,Lokale!$B$3:$B$91=$A922)),""))</f>
        <v/>
      </c>
      <c r="AJ922" s="13" t="str" cm="1">
        <f t="array" ref="AJ922">IF($C922="","",IFERROR(TRANSPOSE(_xlfn._xlws.FILTER(Listy!$D$2:$D$60,Listy!$C$2:$C$60=$C922)),""))</f>
        <v/>
      </c>
    </row>
    <row r="923" spans="7:36" ht="25" customHeight="1" x14ac:dyDescent="0.35">
      <c r="G923" s="15" t="str">
        <f t="shared" si="64"/>
        <v/>
      </c>
      <c r="H923" s="12" t="str">
        <f t="shared" ca="1" si="65"/>
        <v/>
      </c>
      <c r="I923" s="14"/>
      <c r="J923" s="1" t="str">
        <f>IF(COUNTA(A923:F3210)=0,"",IF(#REF!="","BRAK PROTOKOŁU","DODANY"))</f>
        <v/>
      </c>
      <c r="K923" s="1"/>
      <c r="M923" s="13" t="str" cm="1">
        <f t="array" ref="M923">IF($A923="","",IFERROR(TRANSPOSE(_xlfn._xlws.FILTER(Lokale!$C$3:$C$91,Lokale!$B$3:$B$91=$A923)),""))</f>
        <v/>
      </c>
      <c r="AJ923" s="13" t="str" cm="1">
        <f t="array" ref="AJ923">IF($C923="","",IFERROR(TRANSPOSE(_xlfn._xlws.FILTER(Listy!$D$2:$D$60,Listy!$C$2:$C$60=$C923)),""))</f>
        <v/>
      </c>
    </row>
    <row r="924" spans="7:36" ht="25" customHeight="1" x14ac:dyDescent="0.35">
      <c r="G924" s="15" t="str">
        <f t="shared" si="64"/>
        <v/>
      </c>
      <c r="H924" s="12" t="str">
        <f t="shared" ca="1" si="65"/>
        <v/>
      </c>
      <c r="I924" s="14"/>
      <c r="J924" s="1" t="str">
        <f>IF(COUNTA(A924:F3211)=0,"",IF(#REF!="","BRAK PROTOKOŁU","DODANY"))</f>
        <v/>
      </c>
      <c r="K924" s="1"/>
      <c r="M924" s="13" t="str" cm="1">
        <f t="array" ref="M924">IF($A924="","",IFERROR(TRANSPOSE(_xlfn._xlws.FILTER(Lokale!$C$3:$C$91,Lokale!$B$3:$B$91=$A924)),""))</f>
        <v/>
      </c>
      <c r="AJ924" s="13" t="str" cm="1">
        <f t="array" ref="AJ924">IF($C924="","",IFERROR(TRANSPOSE(_xlfn._xlws.FILTER(Listy!$D$2:$D$60,Listy!$C$2:$C$60=$C924)),""))</f>
        <v/>
      </c>
    </row>
    <row r="925" spans="7:36" ht="25" customHeight="1" x14ac:dyDescent="0.35">
      <c r="G925" s="15" t="str">
        <f t="shared" si="64"/>
        <v/>
      </c>
      <c r="H925" s="12" t="str">
        <f t="shared" ca="1" si="65"/>
        <v/>
      </c>
      <c r="I925" s="14"/>
      <c r="J925" s="1" t="str">
        <f>IF(COUNTA(A925:F3212)=0,"",IF(#REF!="","BRAK PROTOKOŁU","DODANY"))</f>
        <v/>
      </c>
      <c r="K925" s="1"/>
      <c r="M925" s="13" t="str" cm="1">
        <f t="array" ref="M925">IF($A925="","",IFERROR(TRANSPOSE(_xlfn._xlws.FILTER(Lokale!$C$3:$C$91,Lokale!$B$3:$B$91=$A925)),""))</f>
        <v/>
      </c>
      <c r="AJ925" s="13" t="str" cm="1">
        <f t="array" ref="AJ925">IF($C925="","",IFERROR(TRANSPOSE(_xlfn._xlws.FILTER(Listy!$D$2:$D$60,Listy!$C$2:$C$60=$C925)),""))</f>
        <v/>
      </c>
    </row>
    <row r="926" spans="7:36" ht="25" customHeight="1" x14ac:dyDescent="0.35">
      <c r="G926" s="15" t="str">
        <f t="shared" si="64"/>
        <v/>
      </c>
      <c r="H926" s="12" t="str">
        <f t="shared" ca="1" si="65"/>
        <v/>
      </c>
      <c r="I926" s="14"/>
      <c r="J926" s="1" t="str">
        <f>IF(COUNTA(A926:F3213)=0,"",IF(#REF!="","BRAK PROTOKOŁU","DODANY"))</f>
        <v/>
      </c>
      <c r="K926" s="1"/>
      <c r="M926" s="13" t="str" cm="1">
        <f t="array" ref="M926">IF($A926="","",IFERROR(TRANSPOSE(_xlfn._xlws.FILTER(Lokale!$C$3:$C$91,Lokale!$B$3:$B$91=$A926)),""))</f>
        <v/>
      </c>
      <c r="AJ926" s="13" t="str" cm="1">
        <f t="array" ref="AJ926">IF($C926="","",IFERROR(TRANSPOSE(_xlfn._xlws.FILTER(Listy!$D$2:$D$60,Listy!$C$2:$C$60=$C926)),""))</f>
        <v/>
      </c>
    </row>
    <row r="927" spans="7:36" ht="25" customHeight="1" x14ac:dyDescent="0.35">
      <c r="G927" s="15" t="str">
        <f t="shared" si="64"/>
        <v/>
      </c>
      <c r="H927" s="12" t="str">
        <f t="shared" ca="1" si="65"/>
        <v/>
      </c>
      <c r="I927" s="14"/>
      <c r="J927" s="1" t="str">
        <f>IF(COUNTA(A927:F3214)=0,"",IF(#REF!="","BRAK PROTOKOŁU","DODANY"))</f>
        <v/>
      </c>
      <c r="K927" s="1"/>
      <c r="M927" s="13" t="str" cm="1">
        <f t="array" ref="M927">IF($A927="","",IFERROR(TRANSPOSE(_xlfn._xlws.FILTER(Lokale!$C$3:$C$91,Lokale!$B$3:$B$91=$A927)),""))</f>
        <v/>
      </c>
      <c r="AJ927" s="13" t="str" cm="1">
        <f t="array" ref="AJ927">IF($C927="","",IFERROR(TRANSPOSE(_xlfn._xlws.FILTER(Listy!$D$2:$D$60,Listy!$C$2:$C$60=$C927)),""))</f>
        <v/>
      </c>
    </row>
    <row r="928" spans="7:36" ht="25" customHeight="1" x14ac:dyDescent="0.35">
      <c r="G928" s="15" t="str">
        <f t="shared" si="64"/>
        <v/>
      </c>
      <c r="H928" s="12" t="str">
        <f t="shared" ca="1" si="65"/>
        <v/>
      </c>
      <c r="I928" s="14"/>
      <c r="J928" s="1" t="str">
        <f>IF(COUNTA(A928:F3215)=0,"",IF(#REF!="","BRAK PROTOKOŁU","DODANY"))</f>
        <v/>
      </c>
      <c r="K928" s="1"/>
      <c r="M928" s="13" t="str" cm="1">
        <f t="array" ref="M928">IF($A928="","",IFERROR(TRANSPOSE(_xlfn._xlws.FILTER(Lokale!$C$3:$C$91,Lokale!$B$3:$B$91=$A928)),""))</f>
        <v/>
      </c>
      <c r="AJ928" s="13" t="str" cm="1">
        <f t="array" ref="AJ928">IF($C928="","",IFERROR(TRANSPOSE(_xlfn._xlws.FILTER(Listy!$D$2:$D$60,Listy!$C$2:$C$60=$C928)),""))</f>
        <v/>
      </c>
    </row>
    <row r="929" spans="7:36" ht="25" customHeight="1" x14ac:dyDescent="0.35">
      <c r="G929" s="15" t="str">
        <f t="shared" si="64"/>
        <v/>
      </c>
      <c r="H929" s="12" t="str">
        <f t="shared" ca="1" si="65"/>
        <v/>
      </c>
      <c r="I929" s="14"/>
      <c r="J929" s="1" t="str">
        <f>IF(COUNTA(A929:F3216)=0,"",IF(#REF!="","BRAK PROTOKOŁU","DODANY"))</f>
        <v/>
      </c>
      <c r="K929" s="1"/>
      <c r="M929" s="13" t="str" cm="1">
        <f t="array" ref="M929">IF($A929="","",IFERROR(TRANSPOSE(_xlfn._xlws.FILTER(Lokale!$C$3:$C$91,Lokale!$B$3:$B$91=$A929)),""))</f>
        <v/>
      </c>
      <c r="AJ929" s="13" t="str" cm="1">
        <f t="array" ref="AJ929">IF($C929="","",IFERROR(TRANSPOSE(_xlfn._xlws.FILTER(Listy!$D$2:$D$60,Listy!$C$2:$C$60=$C929)),""))</f>
        <v/>
      </c>
    </row>
    <row r="930" spans="7:36" ht="25" customHeight="1" x14ac:dyDescent="0.35">
      <c r="G930" s="15" t="str">
        <f t="shared" ref="G930:G993" si="66">IF(OR(E930="",F930=""),"",DATE(YEAR(E930),MONTH(E930)+F930,DAY(E930)))</f>
        <v/>
      </c>
      <c r="H930" s="12" t="str">
        <f t="shared" ref="H930:H993" ca="1" si="67">IF(G930="","",IF(G930&lt;TODAY(),"PO TERMINIE",IF(G930&lt;=TODAY()+14,"DO WYKONANIA","OK")))</f>
        <v/>
      </c>
      <c r="I930" s="14"/>
      <c r="J930" s="1" t="str">
        <f>IF(COUNTA(A930:F3217)=0,"",IF(#REF!="","BRAK PROTOKOŁU","DODANY"))</f>
        <v/>
      </c>
      <c r="K930" s="1"/>
      <c r="M930" s="13" t="str" cm="1">
        <f t="array" ref="M930">IF($A930="","",IFERROR(TRANSPOSE(_xlfn._xlws.FILTER(Lokale!$C$3:$C$91,Lokale!$B$3:$B$91=$A930)),""))</f>
        <v/>
      </c>
      <c r="AJ930" s="13" t="str" cm="1">
        <f t="array" ref="AJ930">IF($C930="","",IFERROR(TRANSPOSE(_xlfn._xlws.FILTER(Listy!$D$2:$D$60,Listy!$C$2:$C$60=$C930)),""))</f>
        <v/>
      </c>
    </row>
    <row r="931" spans="7:36" ht="25" customHeight="1" x14ac:dyDescent="0.35">
      <c r="G931" s="15" t="str">
        <f t="shared" si="66"/>
        <v/>
      </c>
      <c r="H931" s="12" t="str">
        <f t="shared" ca="1" si="67"/>
        <v/>
      </c>
      <c r="I931" s="14"/>
      <c r="J931" s="1" t="str">
        <f>IF(COUNTA(A931:F3218)=0,"",IF(#REF!="","BRAK PROTOKOŁU","DODANY"))</f>
        <v/>
      </c>
      <c r="K931" s="1"/>
      <c r="M931" s="13" t="str" cm="1">
        <f t="array" ref="M931">IF($A931="","",IFERROR(TRANSPOSE(_xlfn._xlws.FILTER(Lokale!$C$3:$C$91,Lokale!$B$3:$B$91=$A931)),""))</f>
        <v/>
      </c>
      <c r="AJ931" s="13" t="str" cm="1">
        <f t="array" ref="AJ931">IF($C931="","",IFERROR(TRANSPOSE(_xlfn._xlws.FILTER(Listy!$D$2:$D$60,Listy!$C$2:$C$60=$C931)),""))</f>
        <v/>
      </c>
    </row>
    <row r="932" spans="7:36" ht="25" customHeight="1" x14ac:dyDescent="0.35">
      <c r="G932" s="15" t="str">
        <f t="shared" si="66"/>
        <v/>
      </c>
      <c r="H932" s="12" t="str">
        <f t="shared" ca="1" si="67"/>
        <v/>
      </c>
      <c r="I932" s="14"/>
      <c r="J932" s="1" t="str">
        <f>IF(COUNTA(A932:F3219)=0,"",IF(#REF!="","BRAK PROTOKOŁU","DODANY"))</f>
        <v/>
      </c>
      <c r="K932" s="1"/>
      <c r="M932" s="13" t="str" cm="1">
        <f t="array" ref="M932">IF($A932="","",IFERROR(TRANSPOSE(_xlfn._xlws.FILTER(Lokale!$C$3:$C$91,Lokale!$B$3:$B$91=$A932)),""))</f>
        <v/>
      </c>
      <c r="AJ932" s="13" t="str" cm="1">
        <f t="array" ref="AJ932">IF($C932="","",IFERROR(TRANSPOSE(_xlfn._xlws.FILTER(Listy!$D$2:$D$60,Listy!$C$2:$C$60=$C932)),""))</f>
        <v/>
      </c>
    </row>
    <row r="933" spans="7:36" ht="25" customHeight="1" x14ac:dyDescent="0.35">
      <c r="G933" s="15" t="str">
        <f t="shared" si="66"/>
        <v/>
      </c>
      <c r="H933" s="12" t="str">
        <f t="shared" ca="1" si="67"/>
        <v/>
      </c>
      <c r="I933" s="14"/>
      <c r="J933" s="1" t="str">
        <f>IF(COUNTA(A933:F3220)=0,"",IF(#REF!="","BRAK PROTOKOŁU","DODANY"))</f>
        <v/>
      </c>
      <c r="K933" s="1"/>
      <c r="M933" s="13" t="str" cm="1">
        <f t="array" ref="M933">IF($A933="","",IFERROR(TRANSPOSE(_xlfn._xlws.FILTER(Lokale!$C$3:$C$91,Lokale!$B$3:$B$91=$A933)),""))</f>
        <v/>
      </c>
      <c r="AJ933" s="13" t="str" cm="1">
        <f t="array" ref="AJ933">IF($C933="","",IFERROR(TRANSPOSE(_xlfn._xlws.FILTER(Listy!$D$2:$D$60,Listy!$C$2:$C$60=$C933)),""))</f>
        <v/>
      </c>
    </row>
    <row r="934" spans="7:36" ht="25" customHeight="1" x14ac:dyDescent="0.35">
      <c r="G934" s="15" t="str">
        <f t="shared" si="66"/>
        <v/>
      </c>
      <c r="H934" s="12" t="str">
        <f t="shared" ca="1" si="67"/>
        <v/>
      </c>
      <c r="I934" s="14"/>
      <c r="J934" s="1" t="str">
        <f>IF(COUNTA(A934:F3221)=0,"",IF(#REF!="","BRAK PROTOKOŁU","DODANY"))</f>
        <v/>
      </c>
      <c r="K934" s="1"/>
      <c r="M934" s="13" t="str" cm="1">
        <f t="array" ref="M934">IF($A934="","",IFERROR(TRANSPOSE(_xlfn._xlws.FILTER(Lokale!$C$3:$C$91,Lokale!$B$3:$B$91=$A934)),""))</f>
        <v/>
      </c>
      <c r="AJ934" s="13" t="str" cm="1">
        <f t="array" ref="AJ934">IF($C934="","",IFERROR(TRANSPOSE(_xlfn._xlws.FILTER(Listy!$D$2:$D$60,Listy!$C$2:$C$60=$C934)),""))</f>
        <v/>
      </c>
    </row>
    <row r="935" spans="7:36" ht="25" customHeight="1" x14ac:dyDescent="0.35">
      <c r="G935" s="15" t="str">
        <f t="shared" si="66"/>
        <v/>
      </c>
      <c r="H935" s="12" t="str">
        <f t="shared" ca="1" si="67"/>
        <v/>
      </c>
      <c r="I935" s="14"/>
      <c r="J935" s="1" t="str">
        <f>IF(COUNTA(A935:F3222)=0,"",IF(#REF!="","BRAK PROTOKOŁU","DODANY"))</f>
        <v/>
      </c>
      <c r="K935" s="1"/>
      <c r="M935" s="13" t="str" cm="1">
        <f t="array" ref="M935">IF($A935="","",IFERROR(TRANSPOSE(_xlfn._xlws.FILTER(Lokale!$C$3:$C$91,Lokale!$B$3:$B$91=$A935)),""))</f>
        <v/>
      </c>
      <c r="AJ935" s="13" t="str" cm="1">
        <f t="array" ref="AJ935">IF($C935="","",IFERROR(TRANSPOSE(_xlfn._xlws.FILTER(Listy!$D$2:$D$60,Listy!$C$2:$C$60=$C935)),""))</f>
        <v/>
      </c>
    </row>
    <row r="936" spans="7:36" ht="25" customHeight="1" x14ac:dyDescent="0.35">
      <c r="G936" s="15" t="str">
        <f t="shared" si="66"/>
        <v/>
      </c>
      <c r="H936" s="12" t="str">
        <f t="shared" ca="1" si="67"/>
        <v/>
      </c>
      <c r="I936" s="14"/>
      <c r="J936" s="1" t="str">
        <f>IF(COUNTA(A936:F3223)=0,"",IF(#REF!="","BRAK PROTOKOŁU","DODANY"))</f>
        <v/>
      </c>
      <c r="K936" s="1"/>
      <c r="M936" s="13" t="str" cm="1">
        <f t="array" ref="M936">IF($A936="","",IFERROR(TRANSPOSE(_xlfn._xlws.FILTER(Lokale!$C$3:$C$91,Lokale!$B$3:$B$91=$A936)),""))</f>
        <v/>
      </c>
      <c r="AJ936" s="13" t="str" cm="1">
        <f t="array" ref="AJ936">IF($C936="","",IFERROR(TRANSPOSE(_xlfn._xlws.FILTER(Listy!$D$2:$D$60,Listy!$C$2:$C$60=$C936)),""))</f>
        <v/>
      </c>
    </row>
    <row r="937" spans="7:36" ht="25" customHeight="1" x14ac:dyDescent="0.35">
      <c r="G937" s="15" t="str">
        <f t="shared" si="66"/>
        <v/>
      </c>
      <c r="H937" s="12" t="str">
        <f t="shared" ca="1" si="67"/>
        <v/>
      </c>
      <c r="I937" s="14"/>
      <c r="J937" s="1" t="str">
        <f>IF(COUNTA(A937:F3224)=0,"",IF(#REF!="","BRAK PROTOKOŁU","DODANY"))</f>
        <v/>
      </c>
      <c r="K937" s="1"/>
      <c r="M937" s="13" t="str" cm="1">
        <f t="array" ref="M937">IF($A937="","",IFERROR(TRANSPOSE(_xlfn._xlws.FILTER(Lokale!$C$3:$C$91,Lokale!$B$3:$B$91=$A937)),""))</f>
        <v/>
      </c>
      <c r="AJ937" s="13" t="str" cm="1">
        <f t="array" ref="AJ937">IF($C937="","",IFERROR(TRANSPOSE(_xlfn._xlws.FILTER(Listy!$D$2:$D$60,Listy!$C$2:$C$60=$C937)),""))</f>
        <v/>
      </c>
    </row>
    <row r="938" spans="7:36" ht="25" customHeight="1" x14ac:dyDescent="0.35">
      <c r="G938" s="15" t="str">
        <f t="shared" si="66"/>
        <v/>
      </c>
      <c r="H938" s="12" t="str">
        <f t="shared" ca="1" si="67"/>
        <v/>
      </c>
      <c r="I938" s="14"/>
      <c r="J938" s="1" t="str">
        <f>IF(COUNTA(A938:F3225)=0,"",IF(#REF!="","BRAK PROTOKOŁU","DODANY"))</f>
        <v/>
      </c>
      <c r="K938" s="1"/>
      <c r="M938" s="13" t="str" cm="1">
        <f t="array" ref="M938">IF($A938="","",IFERROR(TRANSPOSE(_xlfn._xlws.FILTER(Lokale!$C$3:$C$91,Lokale!$B$3:$B$91=$A938)),""))</f>
        <v/>
      </c>
      <c r="AJ938" s="13" t="str" cm="1">
        <f t="array" ref="AJ938">IF($C938="","",IFERROR(TRANSPOSE(_xlfn._xlws.FILTER(Listy!$D$2:$D$60,Listy!$C$2:$C$60=$C938)),""))</f>
        <v/>
      </c>
    </row>
    <row r="939" spans="7:36" ht="25" customHeight="1" x14ac:dyDescent="0.35">
      <c r="G939" s="15" t="str">
        <f t="shared" si="66"/>
        <v/>
      </c>
      <c r="H939" s="12" t="str">
        <f t="shared" ca="1" si="67"/>
        <v/>
      </c>
      <c r="I939" s="14"/>
      <c r="J939" s="1" t="str">
        <f>IF(COUNTA(A939:F3226)=0,"",IF(#REF!="","BRAK PROTOKOŁU","DODANY"))</f>
        <v/>
      </c>
      <c r="K939" s="1"/>
      <c r="M939" s="13" t="str" cm="1">
        <f t="array" ref="M939">IF($A939="","",IFERROR(TRANSPOSE(_xlfn._xlws.FILTER(Lokale!$C$3:$C$91,Lokale!$B$3:$B$91=$A939)),""))</f>
        <v/>
      </c>
      <c r="AJ939" s="13" t="str" cm="1">
        <f t="array" ref="AJ939">IF($C939="","",IFERROR(TRANSPOSE(_xlfn._xlws.FILTER(Listy!$D$2:$D$60,Listy!$C$2:$C$60=$C939)),""))</f>
        <v/>
      </c>
    </row>
    <row r="940" spans="7:36" ht="25" customHeight="1" x14ac:dyDescent="0.35">
      <c r="G940" s="15" t="str">
        <f t="shared" si="66"/>
        <v/>
      </c>
      <c r="H940" s="12" t="str">
        <f t="shared" ca="1" si="67"/>
        <v/>
      </c>
      <c r="I940" s="14"/>
      <c r="J940" s="1" t="str">
        <f>IF(COUNTA(A940:F3227)=0,"",IF(#REF!="","BRAK PROTOKOŁU","DODANY"))</f>
        <v/>
      </c>
      <c r="K940" s="1"/>
      <c r="M940" s="13" t="str" cm="1">
        <f t="array" ref="M940">IF($A940="","",IFERROR(TRANSPOSE(_xlfn._xlws.FILTER(Lokale!$C$3:$C$91,Lokale!$B$3:$B$91=$A940)),""))</f>
        <v/>
      </c>
      <c r="AJ940" s="13" t="str" cm="1">
        <f t="array" ref="AJ940">IF($C940="","",IFERROR(TRANSPOSE(_xlfn._xlws.FILTER(Listy!$D$2:$D$60,Listy!$C$2:$C$60=$C940)),""))</f>
        <v/>
      </c>
    </row>
    <row r="941" spans="7:36" ht="25" customHeight="1" x14ac:dyDescent="0.35">
      <c r="G941" s="15" t="str">
        <f t="shared" si="66"/>
        <v/>
      </c>
      <c r="H941" s="12" t="str">
        <f t="shared" ca="1" si="67"/>
        <v/>
      </c>
      <c r="I941" s="14"/>
      <c r="J941" s="1" t="str">
        <f>IF(COUNTA(A941:F3228)=0,"",IF(#REF!="","BRAK PROTOKOŁU","DODANY"))</f>
        <v/>
      </c>
      <c r="K941" s="1"/>
      <c r="M941" s="13" t="str" cm="1">
        <f t="array" ref="M941">IF($A941="","",IFERROR(TRANSPOSE(_xlfn._xlws.FILTER(Lokale!$C$3:$C$91,Lokale!$B$3:$B$91=$A941)),""))</f>
        <v/>
      </c>
      <c r="AJ941" s="13" t="str" cm="1">
        <f t="array" ref="AJ941">IF($C941="","",IFERROR(TRANSPOSE(_xlfn._xlws.FILTER(Listy!$D$2:$D$60,Listy!$C$2:$C$60=$C941)),""))</f>
        <v/>
      </c>
    </row>
    <row r="942" spans="7:36" ht="25" customHeight="1" x14ac:dyDescent="0.35">
      <c r="G942" s="15" t="str">
        <f t="shared" si="66"/>
        <v/>
      </c>
      <c r="H942" s="12" t="str">
        <f t="shared" ca="1" si="67"/>
        <v/>
      </c>
      <c r="I942" s="14"/>
      <c r="J942" s="1" t="str">
        <f>IF(COUNTA(A942:F3229)=0,"",IF(#REF!="","BRAK PROTOKOŁU","DODANY"))</f>
        <v/>
      </c>
      <c r="K942" s="1"/>
      <c r="M942" s="13" t="str" cm="1">
        <f t="array" ref="M942">IF($A942="","",IFERROR(TRANSPOSE(_xlfn._xlws.FILTER(Lokale!$C$3:$C$91,Lokale!$B$3:$B$91=$A942)),""))</f>
        <v/>
      </c>
      <c r="AJ942" s="13" t="str" cm="1">
        <f t="array" ref="AJ942">IF($C942="","",IFERROR(TRANSPOSE(_xlfn._xlws.FILTER(Listy!$D$2:$D$60,Listy!$C$2:$C$60=$C942)),""))</f>
        <v/>
      </c>
    </row>
    <row r="943" spans="7:36" ht="25" customHeight="1" x14ac:dyDescent="0.35">
      <c r="G943" s="15" t="str">
        <f t="shared" si="66"/>
        <v/>
      </c>
      <c r="H943" s="12" t="str">
        <f t="shared" ca="1" si="67"/>
        <v/>
      </c>
      <c r="I943" s="14"/>
      <c r="J943" s="1" t="str">
        <f>IF(COUNTA(A943:F3230)=0,"",IF(#REF!="","BRAK PROTOKOŁU","DODANY"))</f>
        <v/>
      </c>
      <c r="K943" s="1"/>
      <c r="M943" s="13" t="str" cm="1">
        <f t="array" ref="M943">IF($A943="","",IFERROR(TRANSPOSE(_xlfn._xlws.FILTER(Lokale!$C$3:$C$91,Lokale!$B$3:$B$91=$A943)),""))</f>
        <v/>
      </c>
      <c r="AJ943" s="13" t="str" cm="1">
        <f t="array" ref="AJ943">IF($C943="","",IFERROR(TRANSPOSE(_xlfn._xlws.FILTER(Listy!$D$2:$D$60,Listy!$C$2:$C$60=$C943)),""))</f>
        <v/>
      </c>
    </row>
    <row r="944" spans="7:36" ht="25" customHeight="1" x14ac:dyDescent="0.35">
      <c r="G944" s="15" t="str">
        <f t="shared" si="66"/>
        <v/>
      </c>
      <c r="H944" s="12" t="str">
        <f t="shared" ca="1" si="67"/>
        <v/>
      </c>
      <c r="I944" s="14"/>
      <c r="J944" s="1" t="str">
        <f>IF(COUNTA(A944:F3231)=0,"",IF(#REF!="","BRAK PROTOKOŁU","DODANY"))</f>
        <v/>
      </c>
      <c r="K944" s="1"/>
      <c r="M944" s="13" t="str" cm="1">
        <f t="array" ref="M944">IF($A944="","",IFERROR(TRANSPOSE(_xlfn._xlws.FILTER(Lokale!$C$3:$C$91,Lokale!$B$3:$B$91=$A944)),""))</f>
        <v/>
      </c>
      <c r="AJ944" s="13" t="str" cm="1">
        <f t="array" ref="AJ944">IF($C944="","",IFERROR(TRANSPOSE(_xlfn._xlws.FILTER(Listy!$D$2:$D$60,Listy!$C$2:$C$60=$C944)),""))</f>
        <v/>
      </c>
    </row>
    <row r="945" spans="7:36" ht="25" customHeight="1" x14ac:dyDescent="0.35">
      <c r="G945" s="15" t="str">
        <f t="shared" si="66"/>
        <v/>
      </c>
      <c r="H945" s="12" t="str">
        <f t="shared" ca="1" si="67"/>
        <v/>
      </c>
      <c r="I945" s="14"/>
      <c r="J945" s="1" t="str">
        <f>IF(COUNTA(A945:F3232)=0,"",IF(#REF!="","BRAK PROTOKOŁU","DODANY"))</f>
        <v/>
      </c>
      <c r="K945" s="1"/>
      <c r="M945" s="13" t="str" cm="1">
        <f t="array" ref="M945">IF($A945="","",IFERROR(TRANSPOSE(_xlfn._xlws.FILTER(Lokale!$C$3:$C$91,Lokale!$B$3:$B$91=$A945)),""))</f>
        <v/>
      </c>
      <c r="AJ945" s="13" t="str" cm="1">
        <f t="array" ref="AJ945">IF($C945="","",IFERROR(TRANSPOSE(_xlfn._xlws.FILTER(Listy!$D$2:$D$60,Listy!$C$2:$C$60=$C945)),""))</f>
        <v/>
      </c>
    </row>
    <row r="946" spans="7:36" ht="25" customHeight="1" x14ac:dyDescent="0.35">
      <c r="G946" s="15" t="str">
        <f t="shared" si="66"/>
        <v/>
      </c>
      <c r="H946" s="12" t="str">
        <f t="shared" ca="1" si="67"/>
        <v/>
      </c>
      <c r="I946" s="14"/>
      <c r="J946" s="1" t="str">
        <f>IF(COUNTA(A946:F3233)=0,"",IF(#REF!="","BRAK PROTOKOŁU","DODANY"))</f>
        <v/>
      </c>
      <c r="K946" s="1"/>
      <c r="M946" s="13" t="str" cm="1">
        <f t="array" ref="M946">IF($A946="","",IFERROR(TRANSPOSE(_xlfn._xlws.FILTER(Lokale!$C$3:$C$91,Lokale!$B$3:$B$91=$A946)),""))</f>
        <v/>
      </c>
      <c r="AJ946" s="13" t="str" cm="1">
        <f t="array" ref="AJ946">IF($C946="","",IFERROR(TRANSPOSE(_xlfn._xlws.FILTER(Listy!$D$2:$D$60,Listy!$C$2:$C$60=$C946)),""))</f>
        <v/>
      </c>
    </row>
    <row r="947" spans="7:36" ht="25" customHeight="1" x14ac:dyDescent="0.35">
      <c r="G947" s="15" t="str">
        <f t="shared" si="66"/>
        <v/>
      </c>
      <c r="H947" s="12" t="str">
        <f t="shared" ca="1" si="67"/>
        <v/>
      </c>
      <c r="I947" s="14"/>
      <c r="J947" s="1" t="str">
        <f>IF(COUNTA(A947:F3234)=0,"",IF(#REF!="","BRAK PROTOKOŁU","DODANY"))</f>
        <v/>
      </c>
      <c r="K947" s="1"/>
      <c r="M947" s="13" t="str" cm="1">
        <f t="array" ref="M947">IF($A947="","",IFERROR(TRANSPOSE(_xlfn._xlws.FILTER(Lokale!$C$3:$C$91,Lokale!$B$3:$B$91=$A947)),""))</f>
        <v/>
      </c>
      <c r="AJ947" s="13" t="str" cm="1">
        <f t="array" ref="AJ947">IF($C947="","",IFERROR(TRANSPOSE(_xlfn._xlws.FILTER(Listy!$D$2:$D$60,Listy!$C$2:$C$60=$C947)),""))</f>
        <v/>
      </c>
    </row>
    <row r="948" spans="7:36" ht="25" customHeight="1" x14ac:dyDescent="0.35">
      <c r="G948" s="15" t="str">
        <f t="shared" si="66"/>
        <v/>
      </c>
      <c r="H948" s="12" t="str">
        <f t="shared" ca="1" si="67"/>
        <v/>
      </c>
      <c r="I948" s="14"/>
      <c r="J948" s="1" t="str">
        <f>IF(COUNTA(A948:F3235)=0,"",IF(#REF!="","BRAK PROTOKOŁU","DODANY"))</f>
        <v/>
      </c>
      <c r="K948" s="1"/>
      <c r="M948" s="13" t="str" cm="1">
        <f t="array" ref="M948">IF($A948="","",IFERROR(TRANSPOSE(_xlfn._xlws.FILTER(Lokale!$C$3:$C$91,Lokale!$B$3:$B$91=$A948)),""))</f>
        <v/>
      </c>
      <c r="AJ948" s="13" t="str" cm="1">
        <f t="array" ref="AJ948">IF($C948="","",IFERROR(TRANSPOSE(_xlfn._xlws.FILTER(Listy!$D$2:$D$60,Listy!$C$2:$C$60=$C948)),""))</f>
        <v/>
      </c>
    </row>
    <row r="949" spans="7:36" ht="25" customHeight="1" x14ac:dyDescent="0.35">
      <c r="G949" s="15" t="str">
        <f t="shared" si="66"/>
        <v/>
      </c>
      <c r="H949" s="12" t="str">
        <f t="shared" ca="1" si="67"/>
        <v/>
      </c>
      <c r="I949" s="14"/>
      <c r="J949" s="1" t="str">
        <f>IF(COUNTA(A949:F3236)=0,"",IF(#REF!="","BRAK PROTOKOŁU","DODANY"))</f>
        <v/>
      </c>
      <c r="K949" s="1"/>
      <c r="M949" s="13" t="str" cm="1">
        <f t="array" ref="M949">IF($A949="","",IFERROR(TRANSPOSE(_xlfn._xlws.FILTER(Lokale!$C$3:$C$91,Lokale!$B$3:$B$91=$A949)),""))</f>
        <v/>
      </c>
      <c r="AJ949" s="13" t="str" cm="1">
        <f t="array" ref="AJ949">IF($C949="","",IFERROR(TRANSPOSE(_xlfn._xlws.FILTER(Listy!$D$2:$D$60,Listy!$C$2:$C$60=$C949)),""))</f>
        <v/>
      </c>
    </row>
    <row r="950" spans="7:36" ht="25" customHeight="1" x14ac:dyDescent="0.35">
      <c r="G950" s="15" t="str">
        <f t="shared" si="66"/>
        <v/>
      </c>
      <c r="H950" s="12" t="str">
        <f t="shared" ca="1" si="67"/>
        <v/>
      </c>
      <c r="I950" s="14"/>
      <c r="J950" s="1" t="str">
        <f>IF(COUNTA(A950:F3237)=0,"",IF(#REF!="","BRAK PROTOKOŁU","DODANY"))</f>
        <v/>
      </c>
      <c r="K950" s="1"/>
      <c r="M950" s="13" t="str" cm="1">
        <f t="array" ref="M950">IF($A950="","",IFERROR(TRANSPOSE(_xlfn._xlws.FILTER(Lokale!$C$3:$C$91,Lokale!$B$3:$B$91=$A950)),""))</f>
        <v/>
      </c>
      <c r="AJ950" s="13" t="str" cm="1">
        <f t="array" ref="AJ950">IF($C950="","",IFERROR(TRANSPOSE(_xlfn._xlws.FILTER(Listy!$D$2:$D$60,Listy!$C$2:$C$60=$C950)),""))</f>
        <v/>
      </c>
    </row>
    <row r="951" spans="7:36" ht="25" customHeight="1" x14ac:dyDescent="0.35">
      <c r="G951" s="15" t="str">
        <f t="shared" si="66"/>
        <v/>
      </c>
      <c r="H951" s="12" t="str">
        <f t="shared" ca="1" si="67"/>
        <v/>
      </c>
      <c r="I951" s="14"/>
      <c r="J951" s="1" t="str">
        <f>IF(COUNTA(A951:F3238)=0,"",IF(#REF!="","BRAK PROTOKOŁU","DODANY"))</f>
        <v/>
      </c>
      <c r="K951" s="1"/>
      <c r="M951" s="13" t="str" cm="1">
        <f t="array" ref="M951">IF($A951="","",IFERROR(TRANSPOSE(_xlfn._xlws.FILTER(Lokale!$C$3:$C$91,Lokale!$B$3:$B$91=$A951)),""))</f>
        <v/>
      </c>
      <c r="AJ951" s="13" t="str" cm="1">
        <f t="array" ref="AJ951">IF($C951="","",IFERROR(TRANSPOSE(_xlfn._xlws.FILTER(Listy!$D$2:$D$60,Listy!$C$2:$C$60=$C951)),""))</f>
        <v/>
      </c>
    </row>
    <row r="952" spans="7:36" ht="25" customHeight="1" x14ac:dyDescent="0.35">
      <c r="G952" s="15" t="str">
        <f t="shared" si="66"/>
        <v/>
      </c>
      <c r="H952" s="12" t="str">
        <f t="shared" ca="1" si="67"/>
        <v/>
      </c>
      <c r="I952" s="14"/>
      <c r="J952" s="1" t="str">
        <f>IF(COUNTA(A952:F3239)=0,"",IF(#REF!="","BRAK PROTOKOŁU","DODANY"))</f>
        <v/>
      </c>
      <c r="K952" s="1"/>
      <c r="M952" s="13" t="str" cm="1">
        <f t="array" ref="M952">IF($A952="","",IFERROR(TRANSPOSE(_xlfn._xlws.FILTER(Lokale!$C$3:$C$91,Lokale!$B$3:$B$91=$A952)),""))</f>
        <v/>
      </c>
      <c r="AJ952" s="13" t="str" cm="1">
        <f t="array" ref="AJ952">IF($C952="","",IFERROR(TRANSPOSE(_xlfn._xlws.FILTER(Listy!$D$2:$D$60,Listy!$C$2:$C$60=$C952)),""))</f>
        <v/>
      </c>
    </row>
    <row r="953" spans="7:36" ht="25" customHeight="1" x14ac:dyDescent="0.35">
      <c r="G953" s="15" t="str">
        <f t="shared" si="66"/>
        <v/>
      </c>
      <c r="H953" s="12" t="str">
        <f t="shared" ca="1" si="67"/>
        <v/>
      </c>
      <c r="I953" s="14"/>
      <c r="J953" s="1" t="str">
        <f>IF(COUNTA(A953:F3240)=0,"",IF(#REF!="","BRAK PROTOKOŁU","DODANY"))</f>
        <v/>
      </c>
      <c r="K953" s="1"/>
      <c r="M953" s="13" t="str" cm="1">
        <f t="array" ref="M953">IF($A953="","",IFERROR(TRANSPOSE(_xlfn._xlws.FILTER(Lokale!$C$3:$C$91,Lokale!$B$3:$B$91=$A953)),""))</f>
        <v/>
      </c>
      <c r="AJ953" s="13" t="str" cm="1">
        <f t="array" ref="AJ953">IF($C953="","",IFERROR(TRANSPOSE(_xlfn._xlws.FILTER(Listy!$D$2:$D$60,Listy!$C$2:$C$60=$C953)),""))</f>
        <v/>
      </c>
    </row>
    <row r="954" spans="7:36" ht="25" customHeight="1" x14ac:dyDescent="0.35">
      <c r="G954" s="15" t="str">
        <f t="shared" si="66"/>
        <v/>
      </c>
      <c r="H954" s="12" t="str">
        <f t="shared" ca="1" si="67"/>
        <v/>
      </c>
      <c r="I954" s="14"/>
      <c r="J954" s="1" t="str">
        <f>IF(COUNTA(A954:F3241)=0,"",IF(#REF!="","BRAK PROTOKOŁU","DODANY"))</f>
        <v/>
      </c>
      <c r="K954" s="1"/>
      <c r="M954" s="13" t="str" cm="1">
        <f t="array" ref="M954">IF($A954="","",IFERROR(TRANSPOSE(_xlfn._xlws.FILTER(Lokale!$C$3:$C$91,Lokale!$B$3:$B$91=$A954)),""))</f>
        <v/>
      </c>
      <c r="AJ954" s="13" t="str" cm="1">
        <f t="array" ref="AJ954">IF($C954="","",IFERROR(TRANSPOSE(_xlfn._xlws.FILTER(Listy!$D$2:$D$60,Listy!$C$2:$C$60=$C954)),""))</f>
        <v/>
      </c>
    </row>
    <row r="955" spans="7:36" ht="25" customHeight="1" x14ac:dyDescent="0.35">
      <c r="G955" s="15" t="str">
        <f t="shared" si="66"/>
        <v/>
      </c>
      <c r="H955" s="12" t="str">
        <f t="shared" ca="1" si="67"/>
        <v/>
      </c>
      <c r="I955" s="14"/>
      <c r="J955" s="1" t="str">
        <f>IF(COUNTA(A955:F3242)=0,"",IF(#REF!="","BRAK PROTOKOŁU","DODANY"))</f>
        <v/>
      </c>
      <c r="K955" s="1"/>
      <c r="M955" s="13" t="str" cm="1">
        <f t="array" ref="M955">IF($A955="","",IFERROR(TRANSPOSE(_xlfn._xlws.FILTER(Lokale!$C$3:$C$91,Lokale!$B$3:$B$91=$A955)),""))</f>
        <v/>
      </c>
      <c r="AJ955" s="13" t="str" cm="1">
        <f t="array" ref="AJ955">IF($C955="","",IFERROR(TRANSPOSE(_xlfn._xlws.FILTER(Listy!$D$2:$D$60,Listy!$C$2:$C$60=$C955)),""))</f>
        <v/>
      </c>
    </row>
    <row r="956" spans="7:36" ht="25" customHeight="1" x14ac:dyDescent="0.35">
      <c r="G956" s="15" t="str">
        <f t="shared" si="66"/>
        <v/>
      </c>
      <c r="H956" s="12" t="str">
        <f t="shared" ca="1" si="67"/>
        <v/>
      </c>
      <c r="I956" s="14"/>
      <c r="J956" s="1" t="str">
        <f>IF(COUNTA(A956:F3243)=0,"",IF(#REF!="","BRAK PROTOKOŁU","DODANY"))</f>
        <v/>
      </c>
      <c r="K956" s="1"/>
      <c r="M956" s="13" t="str" cm="1">
        <f t="array" ref="M956">IF($A956="","",IFERROR(TRANSPOSE(_xlfn._xlws.FILTER(Lokale!$C$3:$C$91,Lokale!$B$3:$B$91=$A956)),""))</f>
        <v/>
      </c>
      <c r="AJ956" s="13" t="str" cm="1">
        <f t="array" ref="AJ956">IF($C956="","",IFERROR(TRANSPOSE(_xlfn._xlws.FILTER(Listy!$D$2:$D$60,Listy!$C$2:$C$60=$C956)),""))</f>
        <v/>
      </c>
    </row>
    <row r="957" spans="7:36" ht="25" customHeight="1" x14ac:dyDescent="0.35">
      <c r="G957" s="15" t="str">
        <f t="shared" si="66"/>
        <v/>
      </c>
      <c r="H957" s="12" t="str">
        <f t="shared" ca="1" si="67"/>
        <v/>
      </c>
      <c r="I957" s="14"/>
      <c r="J957" s="1" t="str">
        <f>IF(COUNTA(A957:F3244)=0,"",IF(#REF!="","BRAK PROTOKOŁU","DODANY"))</f>
        <v/>
      </c>
      <c r="K957" s="1"/>
      <c r="M957" s="13" t="str" cm="1">
        <f t="array" ref="M957">IF($A957="","",IFERROR(TRANSPOSE(_xlfn._xlws.FILTER(Lokale!$C$3:$C$91,Lokale!$B$3:$B$91=$A957)),""))</f>
        <v/>
      </c>
      <c r="AJ957" s="13" t="str" cm="1">
        <f t="array" ref="AJ957">IF($C957="","",IFERROR(TRANSPOSE(_xlfn._xlws.FILTER(Listy!$D$2:$D$60,Listy!$C$2:$C$60=$C957)),""))</f>
        <v/>
      </c>
    </row>
    <row r="958" spans="7:36" ht="25" customHeight="1" x14ac:dyDescent="0.35">
      <c r="G958" s="15" t="str">
        <f t="shared" si="66"/>
        <v/>
      </c>
      <c r="H958" s="12" t="str">
        <f t="shared" ca="1" si="67"/>
        <v/>
      </c>
      <c r="I958" s="14"/>
      <c r="J958" s="1" t="str">
        <f>IF(COUNTA(A958:F3245)=0,"",IF(#REF!="","BRAK PROTOKOŁU","DODANY"))</f>
        <v/>
      </c>
      <c r="K958" s="1"/>
      <c r="M958" s="13" t="str" cm="1">
        <f t="array" ref="M958">IF($A958="","",IFERROR(TRANSPOSE(_xlfn._xlws.FILTER(Lokale!$C$3:$C$91,Lokale!$B$3:$B$91=$A958)),""))</f>
        <v/>
      </c>
      <c r="AJ958" s="13" t="str" cm="1">
        <f t="array" ref="AJ958">IF($C958="","",IFERROR(TRANSPOSE(_xlfn._xlws.FILTER(Listy!$D$2:$D$60,Listy!$C$2:$C$60=$C958)),""))</f>
        <v/>
      </c>
    </row>
    <row r="959" spans="7:36" ht="25" customHeight="1" x14ac:dyDescent="0.35">
      <c r="G959" s="15" t="str">
        <f t="shared" si="66"/>
        <v/>
      </c>
      <c r="H959" s="12" t="str">
        <f t="shared" ca="1" si="67"/>
        <v/>
      </c>
      <c r="I959" s="14"/>
      <c r="J959" s="1" t="str">
        <f>IF(COUNTA(A959:F3246)=0,"",IF(#REF!="","BRAK PROTOKOŁU","DODANY"))</f>
        <v/>
      </c>
      <c r="K959" s="1"/>
      <c r="M959" s="13" t="str" cm="1">
        <f t="array" ref="M959">IF($A959="","",IFERROR(TRANSPOSE(_xlfn._xlws.FILTER(Lokale!$C$3:$C$91,Lokale!$B$3:$B$91=$A959)),""))</f>
        <v/>
      </c>
      <c r="AJ959" s="13" t="str" cm="1">
        <f t="array" ref="AJ959">IF($C959="","",IFERROR(TRANSPOSE(_xlfn._xlws.FILTER(Listy!$D$2:$D$60,Listy!$C$2:$C$60=$C959)),""))</f>
        <v/>
      </c>
    </row>
    <row r="960" spans="7:36" ht="25" customHeight="1" x14ac:dyDescent="0.35">
      <c r="G960" s="15" t="str">
        <f t="shared" si="66"/>
        <v/>
      </c>
      <c r="H960" s="12" t="str">
        <f t="shared" ca="1" si="67"/>
        <v/>
      </c>
      <c r="I960" s="14"/>
      <c r="J960" s="1" t="str">
        <f>IF(COUNTA(A960:F3247)=0,"",IF(#REF!="","BRAK PROTOKOŁU","DODANY"))</f>
        <v/>
      </c>
      <c r="K960" s="1"/>
      <c r="M960" s="13" t="str" cm="1">
        <f t="array" ref="M960">IF($A960="","",IFERROR(TRANSPOSE(_xlfn._xlws.FILTER(Lokale!$C$3:$C$91,Lokale!$B$3:$B$91=$A960)),""))</f>
        <v/>
      </c>
      <c r="AJ960" s="13" t="str" cm="1">
        <f t="array" ref="AJ960">IF($C960="","",IFERROR(TRANSPOSE(_xlfn._xlws.FILTER(Listy!$D$2:$D$60,Listy!$C$2:$C$60=$C960)),""))</f>
        <v/>
      </c>
    </row>
    <row r="961" spans="7:36" ht="25" customHeight="1" x14ac:dyDescent="0.35">
      <c r="G961" s="15" t="str">
        <f t="shared" si="66"/>
        <v/>
      </c>
      <c r="H961" s="12" t="str">
        <f t="shared" ca="1" si="67"/>
        <v/>
      </c>
      <c r="I961" s="14"/>
      <c r="J961" s="1" t="str">
        <f>IF(COUNTA(A961:F3248)=0,"",IF(#REF!="","BRAK PROTOKOŁU","DODANY"))</f>
        <v/>
      </c>
      <c r="K961" s="1"/>
      <c r="M961" s="13" t="str" cm="1">
        <f t="array" ref="M961">IF($A961="","",IFERROR(TRANSPOSE(_xlfn._xlws.FILTER(Lokale!$C$3:$C$91,Lokale!$B$3:$B$91=$A961)),""))</f>
        <v/>
      </c>
      <c r="AJ961" s="13" t="str" cm="1">
        <f t="array" ref="AJ961">IF($C961="","",IFERROR(TRANSPOSE(_xlfn._xlws.FILTER(Listy!$D$2:$D$60,Listy!$C$2:$C$60=$C961)),""))</f>
        <v/>
      </c>
    </row>
    <row r="962" spans="7:36" ht="25" customHeight="1" x14ac:dyDescent="0.35">
      <c r="G962" s="15" t="str">
        <f t="shared" si="66"/>
        <v/>
      </c>
      <c r="H962" s="12" t="str">
        <f t="shared" ca="1" si="67"/>
        <v/>
      </c>
      <c r="I962" s="14"/>
      <c r="J962" s="1" t="str">
        <f>IF(COUNTA(A962:F3249)=0,"",IF(#REF!="","BRAK PROTOKOŁU","DODANY"))</f>
        <v/>
      </c>
      <c r="K962" s="1"/>
      <c r="M962" s="13" t="str" cm="1">
        <f t="array" ref="M962">IF($A962="","",IFERROR(TRANSPOSE(_xlfn._xlws.FILTER(Lokale!$C$3:$C$91,Lokale!$B$3:$B$91=$A962)),""))</f>
        <v/>
      </c>
      <c r="AJ962" s="13" t="str" cm="1">
        <f t="array" ref="AJ962">IF($C962="","",IFERROR(TRANSPOSE(_xlfn._xlws.FILTER(Listy!$D$2:$D$60,Listy!$C$2:$C$60=$C962)),""))</f>
        <v/>
      </c>
    </row>
    <row r="963" spans="7:36" ht="25" customHeight="1" x14ac:dyDescent="0.35">
      <c r="G963" s="15" t="str">
        <f t="shared" si="66"/>
        <v/>
      </c>
      <c r="H963" s="12" t="str">
        <f t="shared" ca="1" si="67"/>
        <v/>
      </c>
      <c r="I963" s="14"/>
      <c r="J963" s="1" t="str">
        <f>IF(COUNTA(A963:F3250)=0,"",IF(#REF!="","BRAK PROTOKOŁU","DODANY"))</f>
        <v/>
      </c>
      <c r="K963" s="1"/>
      <c r="M963" s="13" t="str" cm="1">
        <f t="array" ref="M963">IF($A963="","",IFERROR(TRANSPOSE(_xlfn._xlws.FILTER(Lokale!$C$3:$C$91,Lokale!$B$3:$B$91=$A963)),""))</f>
        <v/>
      </c>
      <c r="AJ963" s="13" t="str" cm="1">
        <f t="array" ref="AJ963">IF($C963="","",IFERROR(TRANSPOSE(_xlfn._xlws.FILTER(Listy!$D$2:$D$60,Listy!$C$2:$C$60=$C963)),""))</f>
        <v/>
      </c>
    </row>
    <row r="964" spans="7:36" ht="25" customHeight="1" x14ac:dyDescent="0.35">
      <c r="G964" s="15" t="str">
        <f t="shared" si="66"/>
        <v/>
      </c>
      <c r="H964" s="12" t="str">
        <f t="shared" ca="1" si="67"/>
        <v/>
      </c>
      <c r="I964" s="14"/>
      <c r="J964" s="1" t="str">
        <f>IF(COUNTA(A964:F3251)=0,"",IF(#REF!="","BRAK PROTOKOŁU","DODANY"))</f>
        <v/>
      </c>
      <c r="K964" s="1"/>
      <c r="M964" s="13" t="str" cm="1">
        <f t="array" ref="M964">IF($A964="","",IFERROR(TRANSPOSE(_xlfn._xlws.FILTER(Lokale!$C$3:$C$91,Lokale!$B$3:$B$91=$A964)),""))</f>
        <v/>
      </c>
      <c r="AJ964" s="13" t="str" cm="1">
        <f t="array" ref="AJ964">IF($C964="","",IFERROR(TRANSPOSE(_xlfn._xlws.FILTER(Listy!$D$2:$D$60,Listy!$C$2:$C$60=$C964)),""))</f>
        <v/>
      </c>
    </row>
    <row r="965" spans="7:36" ht="25" customHeight="1" x14ac:dyDescent="0.35">
      <c r="G965" s="15" t="str">
        <f t="shared" si="66"/>
        <v/>
      </c>
      <c r="H965" s="12" t="str">
        <f t="shared" ca="1" si="67"/>
        <v/>
      </c>
      <c r="I965" s="14"/>
      <c r="J965" s="1" t="str">
        <f>IF(COUNTA(A965:F3252)=0,"",IF(#REF!="","BRAK PROTOKOŁU","DODANY"))</f>
        <v/>
      </c>
      <c r="K965" s="1"/>
      <c r="M965" s="13" t="str" cm="1">
        <f t="array" ref="M965">IF($A965="","",IFERROR(TRANSPOSE(_xlfn._xlws.FILTER(Lokale!$C$3:$C$91,Lokale!$B$3:$B$91=$A965)),""))</f>
        <v/>
      </c>
      <c r="AJ965" s="13" t="str" cm="1">
        <f t="array" ref="AJ965">IF($C965="","",IFERROR(TRANSPOSE(_xlfn._xlws.FILTER(Listy!$D$2:$D$60,Listy!$C$2:$C$60=$C965)),""))</f>
        <v/>
      </c>
    </row>
    <row r="966" spans="7:36" ht="25" customHeight="1" x14ac:dyDescent="0.35">
      <c r="G966" s="15" t="str">
        <f t="shared" si="66"/>
        <v/>
      </c>
      <c r="H966" s="12" t="str">
        <f t="shared" ca="1" si="67"/>
        <v/>
      </c>
      <c r="I966" s="14"/>
      <c r="J966" s="1" t="str">
        <f>IF(COUNTA(A966:F3253)=0,"",IF(#REF!="","BRAK PROTOKOŁU","DODANY"))</f>
        <v/>
      </c>
      <c r="K966" s="1"/>
      <c r="M966" s="13" t="str" cm="1">
        <f t="array" ref="M966">IF($A966="","",IFERROR(TRANSPOSE(_xlfn._xlws.FILTER(Lokale!$C$3:$C$91,Lokale!$B$3:$B$91=$A966)),""))</f>
        <v/>
      </c>
      <c r="AJ966" s="13" t="str" cm="1">
        <f t="array" ref="AJ966">IF($C966="","",IFERROR(TRANSPOSE(_xlfn._xlws.FILTER(Listy!$D$2:$D$60,Listy!$C$2:$C$60=$C966)),""))</f>
        <v/>
      </c>
    </row>
    <row r="967" spans="7:36" ht="25" customHeight="1" x14ac:dyDescent="0.35">
      <c r="G967" s="15" t="str">
        <f t="shared" si="66"/>
        <v/>
      </c>
      <c r="H967" s="12" t="str">
        <f t="shared" ca="1" si="67"/>
        <v/>
      </c>
      <c r="I967" s="14"/>
      <c r="J967" s="1" t="str">
        <f>IF(COUNTA(A967:F3254)=0,"",IF(#REF!="","BRAK PROTOKOŁU","DODANY"))</f>
        <v/>
      </c>
      <c r="K967" s="1"/>
      <c r="M967" s="13" t="str" cm="1">
        <f t="array" ref="M967">IF($A967="","",IFERROR(TRANSPOSE(_xlfn._xlws.FILTER(Lokale!$C$3:$C$91,Lokale!$B$3:$B$91=$A967)),""))</f>
        <v/>
      </c>
      <c r="AJ967" s="13" t="str" cm="1">
        <f t="array" ref="AJ967">IF($C967="","",IFERROR(TRANSPOSE(_xlfn._xlws.FILTER(Listy!$D$2:$D$60,Listy!$C$2:$C$60=$C967)),""))</f>
        <v/>
      </c>
    </row>
    <row r="968" spans="7:36" ht="25" customHeight="1" x14ac:dyDescent="0.35">
      <c r="G968" s="15" t="str">
        <f t="shared" si="66"/>
        <v/>
      </c>
      <c r="H968" s="12" t="str">
        <f t="shared" ca="1" si="67"/>
        <v/>
      </c>
      <c r="I968" s="14"/>
      <c r="J968" s="1" t="str">
        <f>IF(COUNTA(A968:F3255)=0,"",IF(#REF!="","BRAK PROTOKOŁU","DODANY"))</f>
        <v/>
      </c>
      <c r="K968" s="1"/>
      <c r="M968" s="13" t="str" cm="1">
        <f t="array" ref="M968">IF($A968="","",IFERROR(TRANSPOSE(_xlfn._xlws.FILTER(Lokale!$C$3:$C$91,Lokale!$B$3:$B$91=$A968)),""))</f>
        <v/>
      </c>
      <c r="AJ968" s="13" t="str" cm="1">
        <f t="array" ref="AJ968">IF($C968="","",IFERROR(TRANSPOSE(_xlfn._xlws.FILTER(Listy!$D$2:$D$60,Listy!$C$2:$C$60=$C968)),""))</f>
        <v/>
      </c>
    </row>
    <row r="969" spans="7:36" ht="25" customHeight="1" x14ac:dyDescent="0.35">
      <c r="G969" s="15" t="str">
        <f t="shared" si="66"/>
        <v/>
      </c>
      <c r="H969" s="12" t="str">
        <f t="shared" ca="1" si="67"/>
        <v/>
      </c>
      <c r="I969" s="14"/>
      <c r="J969" s="1" t="str">
        <f>IF(COUNTA(A969:F3256)=0,"",IF(#REF!="","BRAK PROTOKOŁU","DODANY"))</f>
        <v/>
      </c>
      <c r="K969" s="1"/>
      <c r="M969" s="13" t="str" cm="1">
        <f t="array" ref="M969">IF($A969="","",IFERROR(TRANSPOSE(_xlfn._xlws.FILTER(Lokale!$C$3:$C$91,Lokale!$B$3:$B$91=$A969)),""))</f>
        <v/>
      </c>
      <c r="AJ969" s="13" t="str" cm="1">
        <f t="array" ref="AJ969">IF($C969="","",IFERROR(TRANSPOSE(_xlfn._xlws.FILTER(Listy!$D$2:$D$60,Listy!$C$2:$C$60=$C969)),""))</f>
        <v/>
      </c>
    </row>
    <row r="970" spans="7:36" ht="25" customHeight="1" x14ac:dyDescent="0.35">
      <c r="G970" s="15" t="str">
        <f t="shared" si="66"/>
        <v/>
      </c>
      <c r="H970" s="12" t="str">
        <f t="shared" ca="1" si="67"/>
        <v/>
      </c>
      <c r="I970" s="14"/>
      <c r="J970" s="1" t="str">
        <f>IF(COUNTA(A970:F3257)=0,"",IF(#REF!="","BRAK PROTOKOŁU","DODANY"))</f>
        <v/>
      </c>
      <c r="K970" s="1"/>
      <c r="M970" s="13" t="str" cm="1">
        <f t="array" ref="M970">IF($A970="","",IFERROR(TRANSPOSE(_xlfn._xlws.FILTER(Lokale!$C$3:$C$91,Lokale!$B$3:$B$91=$A970)),""))</f>
        <v/>
      </c>
      <c r="AJ970" s="13" t="str" cm="1">
        <f t="array" ref="AJ970">IF($C970="","",IFERROR(TRANSPOSE(_xlfn._xlws.FILTER(Listy!$D$2:$D$60,Listy!$C$2:$C$60=$C970)),""))</f>
        <v/>
      </c>
    </row>
    <row r="971" spans="7:36" ht="25" customHeight="1" x14ac:dyDescent="0.35">
      <c r="G971" s="15" t="str">
        <f t="shared" si="66"/>
        <v/>
      </c>
      <c r="H971" s="12" t="str">
        <f t="shared" ca="1" si="67"/>
        <v/>
      </c>
      <c r="I971" s="14"/>
      <c r="J971" s="1" t="str">
        <f>IF(COUNTA(A971:F3258)=0,"",IF(#REF!="","BRAK PROTOKOŁU","DODANY"))</f>
        <v/>
      </c>
      <c r="K971" s="1"/>
      <c r="M971" s="13" t="str" cm="1">
        <f t="array" ref="M971">IF($A971="","",IFERROR(TRANSPOSE(_xlfn._xlws.FILTER(Lokale!$C$3:$C$91,Lokale!$B$3:$B$91=$A971)),""))</f>
        <v/>
      </c>
      <c r="AJ971" s="13" t="str" cm="1">
        <f t="array" ref="AJ971">IF($C971="","",IFERROR(TRANSPOSE(_xlfn._xlws.FILTER(Listy!$D$2:$D$60,Listy!$C$2:$C$60=$C971)),""))</f>
        <v/>
      </c>
    </row>
    <row r="972" spans="7:36" ht="25" customHeight="1" x14ac:dyDescent="0.35">
      <c r="G972" s="15" t="str">
        <f t="shared" si="66"/>
        <v/>
      </c>
      <c r="H972" s="12" t="str">
        <f t="shared" ca="1" si="67"/>
        <v/>
      </c>
      <c r="I972" s="14"/>
      <c r="J972" s="1" t="str">
        <f>IF(COUNTA(A972:F3259)=0,"",IF(#REF!="","BRAK PROTOKOŁU","DODANY"))</f>
        <v/>
      </c>
      <c r="K972" s="1"/>
      <c r="M972" s="13" t="str" cm="1">
        <f t="array" ref="M972">IF($A972="","",IFERROR(TRANSPOSE(_xlfn._xlws.FILTER(Lokale!$C$3:$C$91,Lokale!$B$3:$B$91=$A972)),""))</f>
        <v/>
      </c>
      <c r="AJ972" s="13" t="str" cm="1">
        <f t="array" ref="AJ972">IF($C972="","",IFERROR(TRANSPOSE(_xlfn._xlws.FILTER(Listy!$D$2:$D$60,Listy!$C$2:$C$60=$C972)),""))</f>
        <v/>
      </c>
    </row>
    <row r="973" spans="7:36" ht="25" customHeight="1" x14ac:dyDescent="0.35">
      <c r="G973" s="15" t="str">
        <f t="shared" si="66"/>
        <v/>
      </c>
      <c r="H973" s="12" t="str">
        <f t="shared" ca="1" si="67"/>
        <v/>
      </c>
      <c r="I973" s="14"/>
      <c r="J973" s="1" t="str">
        <f>IF(COUNTA(A973:F3260)=0,"",IF(#REF!="","BRAK PROTOKOŁU","DODANY"))</f>
        <v/>
      </c>
      <c r="K973" s="1"/>
      <c r="M973" s="13" t="str" cm="1">
        <f t="array" ref="M973">IF($A973="","",IFERROR(TRANSPOSE(_xlfn._xlws.FILTER(Lokale!$C$3:$C$91,Lokale!$B$3:$B$91=$A973)),""))</f>
        <v/>
      </c>
      <c r="AJ973" s="13" t="str" cm="1">
        <f t="array" ref="AJ973">IF($C973="","",IFERROR(TRANSPOSE(_xlfn._xlws.FILTER(Listy!$D$2:$D$60,Listy!$C$2:$C$60=$C973)),""))</f>
        <v/>
      </c>
    </row>
    <row r="974" spans="7:36" ht="25" customHeight="1" x14ac:dyDescent="0.35">
      <c r="G974" s="15" t="str">
        <f t="shared" si="66"/>
        <v/>
      </c>
      <c r="H974" s="12" t="str">
        <f t="shared" ca="1" si="67"/>
        <v/>
      </c>
      <c r="I974" s="14"/>
      <c r="J974" s="1" t="str">
        <f>IF(COUNTA(A974:F3261)=0,"",IF(#REF!="","BRAK PROTOKOŁU","DODANY"))</f>
        <v/>
      </c>
      <c r="K974" s="1"/>
      <c r="M974" s="13" t="str" cm="1">
        <f t="array" ref="M974">IF($A974="","",IFERROR(TRANSPOSE(_xlfn._xlws.FILTER(Lokale!$C$3:$C$91,Lokale!$B$3:$B$91=$A974)),""))</f>
        <v/>
      </c>
      <c r="AJ974" s="13" t="str" cm="1">
        <f t="array" ref="AJ974">IF($C974="","",IFERROR(TRANSPOSE(_xlfn._xlws.FILTER(Listy!$D$2:$D$60,Listy!$C$2:$C$60=$C974)),""))</f>
        <v/>
      </c>
    </row>
    <row r="975" spans="7:36" ht="25" customHeight="1" x14ac:dyDescent="0.35">
      <c r="G975" s="15" t="str">
        <f t="shared" si="66"/>
        <v/>
      </c>
      <c r="H975" s="12" t="str">
        <f t="shared" ca="1" si="67"/>
        <v/>
      </c>
      <c r="I975" s="14"/>
      <c r="J975" s="1" t="str">
        <f>IF(COUNTA(A975:F3262)=0,"",IF(#REF!="","BRAK PROTOKOŁU","DODANY"))</f>
        <v/>
      </c>
      <c r="K975" s="1"/>
      <c r="M975" s="13" t="str" cm="1">
        <f t="array" ref="M975">IF($A975="","",IFERROR(TRANSPOSE(_xlfn._xlws.FILTER(Lokale!$C$3:$C$91,Lokale!$B$3:$B$91=$A975)),""))</f>
        <v/>
      </c>
      <c r="AJ975" s="13" t="str" cm="1">
        <f t="array" ref="AJ975">IF($C975="","",IFERROR(TRANSPOSE(_xlfn._xlws.FILTER(Listy!$D$2:$D$60,Listy!$C$2:$C$60=$C975)),""))</f>
        <v/>
      </c>
    </row>
    <row r="976" spans="7:36" ht="25" customHeight="1" x14ac:dyDescent="0.35">
      <c r="G976" s="15" t="str">
        <f t="shared" si="66"/>
        <v/>
      </c>
      <c r="H976" s="12" t="str">
        <f t="shared" ca="1" si="67"/>
        <v/>
      </c>
      <c r="I976" s="14"/>
      <c r="J976" s="1" t="str">
        <f>IF(COUNTA(A976:F3263)=0,"",IF(#REF!="","BRAK PROTOKOŁU","DODANY"))</f>
        <v/>
      </c>
      <c r="K976" s="1"/>
      <c r="M976" s="13" t="str" cm="1">
        <f t="array" ref="M976">IF($A976="","",IFERROR(TRANSPOSE(_xlfn._xlws.FILTER(Lokale!$C$3:$C$91,Lokale!$B$3:$B$91=$A976)),""))</f>
        <v/>
      </c>
      <c r="AJ976" s="13" t="str" cm="1">
        <f t="array" ref="AJ976">IF($C976="","",IFERROR(TRANSPOSE(_xlfn._xlws.FILTER(Listy!$D$2:$D$60,Listy!$C$2:$C$60=$C976)),""))</f>
        <v/>
      </c>
    </row>
    <row r="977" spans="7:36" ht="25" customHeight="1" x14ac:dyDescent="0.35">
      <c r="G977" s="15" t="str">
        <f t="shared" si="66"/>
        <v/>
      </c>
      <c r="H977" s="12" t="str">
        <f t="shared" ca="1" si="67"/>
        <v/>
      </c>
      <c r="I977" s="14"/>
      <c r="J977" s="1" t="str">
        <f>IF(COUNTA(A977:F3264)=0,"",IF(#REF!="","BRAK PROTOKOŁU","DODANY"))</f>
        <v/>
      </c>
      <c r="K977" s="1"/>
      <c r="M977" s="13" t="str" cm="1">
        <f t="array" ref="M977">IF($A977="","",IFERROR(TRANSPOSE(_xlfn._xlws.FILTER(Lokale!$C$3:$C$91,Lokale!$B$3:$B$91=$A977)),""))</f>
        <v/>
      </c>
      <c r="AJ977" s="13" t="str" cm="1">
        <f t="array" ref="AJ977">IF($C977="","",IFERROR(TRANSPOSE(_xlfn._xlws.FILTER(Listy!$D$2:$D$60,Listy!$C$2:$C$60=$C977)),""))</f>
        <v/>
      </c>
    </row>
    <row r="978" spans="7:36" ht="25" customHeight="1" x14ac:dyDescent="0.35">
      <c r="G978" s="15" t="str">
        <f t="shared" si="66"/>
        <v/>
      </c>
      <c r="H978" s="12" t="str">
        <f t="shared" ca="1" si="67"/>
        <v/>
      </c>
      <c r="I978" s="14"/>
      <c r="J978" s="1" t="str">
        <f>IF(COUNTA(A978:F3265)=0,"",IF(#REF!="","BRAK PROTOKOŁU","DODANY"))</f>
        <v/>
      </c>
      <c r="K978" s="1"/>
      <c r="M978" s="13" t="str" cm="1">
        <f t="array" ref="M978">IF($A978="","",IFERROR(TRANSPOSE(_xlfn._xlws.FILTER(Lokale!$C$3:$C$91,Lokale!$B$3:$B$91=$A978)),""))</f>
        <v/>
      </c>
      <c r="AJ978" s="13" t="str" cm="1">
        <f t="array" ref="AJ978">IF($C978="","",IFERROR(TRANSPOSE(_xlfn._xlws.FILTER(Listy!$D$2:$D$60,Listy!$C$2:$C$60=$C978)),""))</f>
        <v/>
      </c>
    </row>
    <row r="979" spans="7:36" ht="25" customHeight="1" x14ac:dyDescent="0.35">
      <c r="G979" s="15" t="str">
        <f t="shared" si="66"/>
        <v/>
      </c>
      <c r="H979" s="12" t="str">
        <f t="shared" ca="1" si="67"/>
        <v/>
      </c>
      <c r="I979" s="14"/>
      <c r="J979" s="1" t="str">
        <f>IF(COUNTA(A979:F3266)=0,"",IF(#REF!="","BRAK PROTOKOŁU","DODANY"))</f>
        <v/>
      </c>
      <c r="K979" s="1"/>
      <c r="M979" s="13" t="str" cm="1">
        <f t="array" ref="M979">IF($A979="","",IFERROR(TRANSPOSE(_xlfn._xlws.FILTER(Lokale!$C$3:$C$91,Lokale!$B$3:$B$91=$A979)),""))</f>
        <v/>
      </c>
      <c r="AJ979" s="13" t="str" cm="1">
        <f t="array" ref="AJ979">IF($C979="","",IFERROR(TRANSPOSE(_xlfn._xlws.FILTER(Listy!$D$2:$D$60,Listy!$C$2:$C$60=$C979)),""))</f>
        <v/>
      </c>
    </row>
    <row r="980" spans="7:36" ht="25" customHeight="1" x14ac:dyDescent="0.35">
      <c r="G980" s="15" t="str">
        <f t="shared" si="66"/>
        <v/>
      </c>
      <c r="H980" s="12" t="str">
        <f t="shared" ca="1" si="67"/>
        <v/>
      </c>
      <c r="I980" s="14"/>
      <c r="J980" s="1" t="str">
        <f>IF(COUNTA(A980:F3267)=0,"",IF(#REF!="","BRAK PROTOKOŁU","DODANY"))</f>
        <v/>
      </c>
      <c r="K980" s="1"/>
      <c r="M980" s="13" t="str" cm="1">
        <f t="array" ref="M980">IF($A980="","",IFERROR(TRANSPOSE(_xlfn._xlws.FILTER(Lokale!$C$3:$C$91,Lokale!$B$3:$B$91=$A980)),""))</f>
        <v/>
      </c>
      <c r="AJ980" s="13" t="str" cm="1">
        <f t="array" ref="AJ980">IF($C980="","",IFERROR(TRANSPOSE(_xlfn._xlws.FILTER(Listy!$D$2:$D$60,Listy!$C$2:$C$60=$C980)),""))</f>
        <v/>
      </c>
    </row>
    <row r="981" spans="7:36" ht="25" customHeight="1" x14ac:dyDescent="0.35">
      <c r="G981" s="15" t="str">
        <f t="shared" si="66"/>
        <v/>
      </c>
      <c r="H981" s="12" t="str">
        <f t="shared" ca="1" si="67"/>
        <v/>
      </c>
      <c r="I981" s="14"/>
      <c r="J981" s="1" t="str">
        <f>IF(COUNTA(A981:F3268)=0,"",IF(#REF!="","BRAK PROTOKOŁU","DODANY"))</f>
        <v/>
      </c>
      <c r="K981" s="1"/>
      <c r="M981" s="13" t="str" cm="1">
        <f t="array" ref="M981">IF($A981="","",IFERROR(TRANSPOSE(_xlfn._xlws.FILTER(Lokale!$C$3:$C$91,Lokale!$B$3:$B$91=$A981)),""))</f>
        <v/>
      </c>
      <c r="AJ981" s="13" t="str" cm="1">
        <f t="array" ref="AJ981">IF($C981="","",IFERROR(TRANSPOSE(_xlfn._xlws.FILTER(Listy!$D$2:$D$60,Listy!$C$2:$C$60=$C981)),""))</f>
        <v/>
      </c>
    </row>
    <row r="982" spans="7:36" ht="25" customHeight="1" x14ac:dyDescent="0.35">
      <c r="G982" s="15" t="str">
        <f t="shared" si="66"/>
        <v/>
      </c>
      <c r="H982" s="12" t="str">
        <f t="shared" ca="1" si="67"/>
        <v/>
      </c>
      <c r="I982" s="14"/>
      <c r="J982" s="1" t="str">
        <f>IF(COUNTA(A982:F3269)=0,"",IF(#REF!="","BRAK PROTOKOŁU","DODANY"))</f>
        <v/>
      </c>
      <c r="K982" s="1"/>
      <c r="M982" s="13" t="str" cm="1">
        <f t="array" ref="M982">IF($A982="","",IFERROR(TRANSPOSE(_xlfn._xlws.FILTER(Lokale!$C$3:$C$91,Lokale!$B$3:$B$91=$A982)),""))</f>
        <v/>
      </c>
      <c r="AJ982" s="13" t="str" cm="1">
        <f t="array" ref="AJ982">IF($C982="","",IFERROR(TRANSPOSE(_xlfn._xlws.FILTER(Listy!$D$2:$D$60,Listy!$C$2:$C$60=$C982)),""))</f>
        <v/>
      </c>
    </row>
    <row r="983" spans="7:36" ht="25" customHeight="1" x14ac:dyDescent="0.35">
      <c r="G983" s="15" t="str">
        <f t="shared" si="66"/>
        <v/>
      </c>
      <c r="H983" s="12" t="str">
        <f t="shared" ca="1" si="67"/>
        <v/>
      </c>
      <c r="I983" s="14"/>
      <c r="J983" s="1" t="str">
        <f>IF(COUNTA(A983:F3270)=0,"",IF(#REF!="","BRAK PROTOKOŁU","DODANY"))</f>
        <v/>
      </c>
      <c r="K983" s="1"/>
      <c r="M983" s="13" t="str" cm="1">
        <f t="array" ref="M983">IF($A983="","",IFERROR(TRANSPOSE(_xlfn._xlws.FILTER(Lokale!$C$3:$C$91,Lokale!$B$3:$B$91=$A983)),""))</f>
        <v/>
      </c>
      <c r="AJ983" s="13" t="str" cm="1">
        <f t="array" ref="AJ983">IF($C983="","",IFERROR(TRANSPOSE(_xlfn._xlws.FILTER(Listy!$D$2:$D$60,Listy!$C$2:$C$60=$C983)),""))</f>
        <v/>
      </c>
    </row>
    <row r="984" spans="7:36" ht="25" customHeight="1" x14ac:dyDescent="0.35">
      <c r="G984" s="15" t="str">
        <f t="shared" si="66"/>
        <v/>
      </c>
      <c r="H984" s="12" t="str">
        <f t="shared" ca="1" si="67"/>
        <v/>
      </c>
      <c r="I984" s="14"/>
      <c r="J984" s="1" t="str">
        <f>IF(COUNTA(A984:F3271)=0,"",IF(#REF!="","BRAK PROTOKOŁU","DODANY"))</f>
        <v/>
      </c>
      <c r="K984" s="1"/>
      <c r="M984" s="13" t="str" cm="1">
        <f t="array" ref="M984">IF($A984="","",IFERROR(TRANSPOSE(_xlfn._xlws.FILTER(Lokale!$C$3:$C$91,Lokale!$B$3:$B$91=$A984)),""))</f>
        <v/>
      </c>
      <c r="AJ984" s="13" t="str" cm="1">
        <f t="array" ref="AJ984">IF($C984="","",IFERROR(TRANSPOSE(_xlfn._xlws.FILTER(Listy!$D$2:$D$60,Listy!$C$2:$C$60=$C984)),""))</f>
        <v/>
      </c>
    </row>
    <row r="985" spans="7:36" ht="25" customHeight="1" x14ac:dyDescent="0.35">
      <c r="G985" s="15" t="str">
        <f t="shared" si="66"/>
        <v/>
      </c>
      <c r="H985" s="12" t="str">
        <f t="shared" ca="1" si="67"/>
        <v/>
      </c>
      <c r="I985" s="14"/>
      <c r="J985" s="1" t="str">
        <f>IF(COUNTA(A985:F3272)=0,"",IF(#REF!="","BRAK PROTOKOŁU","DODANY"))</f>
        <v/>
      </c>
      <c r="K985" s="1"/>
      <c r="M985" s="13" t="str" cm="1">
        <f t="array" ref="M985">IF($A985="","",IFERROR(TRANSPOSE(_xlfn._xlws.FILTER(Lokale!$C$3:$C$91,Lokale!$B$3:$B$91=$A985)),""))</f>
        <v/>
      </c>
      <c r="AJ985" s="13" t="str" cm="1">
        <f t="array" ref="AJ985">IF($C985="","",IFERROR(TRANSPOSE(_xlfn._xlws.FILTER(Listy!$D$2:$D$60,Listy!$C$2:$C$60=$C985)),""))</f>
        <v/>
      </c>
    </row>
    <row r="986" spans="7:36" ht="25" customHeight="1" x14ac:dyDescent="0.35">
      <c r="G986" s="15" t="str">
        <f t="shared" si="66"/>
        <v/>
      </c>
      <c r="H986" s="12" t="str">
        <f t="shared" ca="1" si="67"/>
        <v/>
      </c>
      <c r="I986" s="14"/>
      <c r="J986" s="1" t="str">
        <f>IF(COUNTA(A986:F3273)=0,"",IF(#REF!="","BRAK PROTOKOŁU","DODANY"))</f>
        <v/>
      </c>
      <c r="K986" s="1"/>
      <c r="M986" s="13" t="str" cm="1">
        <f t="array" ref="M986">IF($A986="","",IFERROR(TRANSPOSE(_xlfn._xlws.FILTER(Lokale!$C$3:$C$91,Lokale!$B$3:$B$91=$A986)),""))</f>
        <v/>
      </c>
      <c r="AJ986" s="13" t="str" cm="1">
        <f t="array" ref="AJ986">IF($C986="","",IFERROR(TRANSPOSE(_xlfn._xlws.FILTER(Listy!$D$2:$D$60,Listy!$C$2:$C$60=$C986)),""))</f>
        <v/>
      </c>
    </row>
    <row r="987" spans="7:36" ht="25" customHeight="1" x14ac:dyDescent="0.35">
      <c r="G987" s="15" t="str">
        <f t="shared" si="66"/>
        <v/>
      </c>
      <c r="H987" s="12" t="str">
        <f t="shared" ca="1" si="67"/>
        <v/>
      </c>
      <c r="I987" s="14"/>
      <c r="J987" s="1" t="str">
        <f>IF(COUNTA(A987:F3274)=0,"",IF(#REF!="","BRAK PROTOKOŁU","DODANY"))</f>
        <v/>
      </c>
      <c r="K987" s="1"/>
      <c r="M987" s="13" t="str" cm="1">
        <f t="array" ref="M987">IF($A987="","",IFERROR(TRANSPOSE(_xlfn._xlws.FILTER(Lokale!$C$3:$C$91,Lokale!$B$3:$B$91=$A987)),""))</f>
        <v/>
      </c>
      <c r="AJ987" s="13" t="str" cm="1">
        <f t="array" ref="AJ987">IF($C987="","",IFERROR(TRANSPOSE(_xlfn._xlws.FILTER(Listy!$D$2:$D$60,Listy!$C$2:$C$60=$C987)),""))</f>
        <v/>
      </c>
    </row>
    <row r="988" spans="7:36" ht="25" customHeight="1" x14ac:dyDescent="0.35">
      <c r="G988" s="15" t="str">
        <f t="shared" si="66"/>
        <v/>
      </c>
      <c r="H988" s="12" t="str">
        <f t="shared" ca="1" si="67"/>
        <v/>
      </c>
      <c r="I988" s="14"/>
      <c r="J988" s="1" t="str">
        <f>IF(COUNTA(A988:F3275)=0,"",IF(#REF!="","BRAK PROTOKOŁU","DODANY"))</f>
        <v/>
      </c>
      <c r="K988" s="1"/>
      <c r="M988" s="13" t="str" cm="1">
        <f t="array" ref="M988">IF($A988="","",IFERROR(TRANSPOSE(_xlfn._xlws.FILTER(Lokale!$C$3:$C$91,Lokale!$B$3:$B$91=$A988)),""))</f>
        <v/>
      </c>
      <c r="AJ988" s="13" t="str" cm="1">
        <f t="array" ref="AJ988">IF($C988="","",IFERROR(TRANSPOSE(_xlfn._xlws.FILTER(Listy!$D$2:$D$60,Listy!$C$2:$C$60=$C988)),""))</f>
        <v/>
      </c>
    </row>
    <row r="989" spans="7:36" ht="25" customHeight="1" x14ac:dyDescent="0.35">
      <c r="G989" s="15" t="str">
        <f t="shared" si="66"/>
        <v/>
      </c>
      <c r="H989" s="12" t="str">
        <f t="shared" ca="1" si="67"/>
        <v/>
      </c>
      <c r="I989" s="14"/>
      <c r="J989" s="1" t="str">
        <f>IF(COUNTA(A989:F3276)=0,"",IF(#REF!="","BRAK PROTOKOŁU","DODANY"))</f>
        <v/>
      </c>
      <c r="K989" s="1"/>
      <c r="M989" s="13" t="str" cm="1">
        <f t="array" ref="M989">IF($A989="","",IFERROR(TRANSPOSE(_xlfn._xlws.FILTER(Lokale!$C$3:$C$91,Lokale!$B$3:$B$91=$A989)),""))</f>
        <v/>
      </c>
      <c r="AJ989" s="13" t="str" cm="1">
        <f t="array" ref="AJ989">IF($C989="","",IFERROR(TRANSPOSE(_xlfn._xlws.FILTER(Listy!$D$2:$D$60,Listy!$C$2:$C$60=$C989)),""))</f>
        <v/>
      </c>
    </row>
    <row r="990" spans="7:36" ht="25" customHeight="1" x14ac:dyDescent="0.35">
      <c r="G990" s="15" t="str">
        <f t="shared" si="66"/>
        <v/>
      </c>
      <c r="H990" s="12" t="str">
        <f t="shared" ca="1" si="67"/>
        <v/>
      </c>
      <c r="I990" s="14"/>
      <c r="J990" s="1" t="str">
        <f>IF(COUNTA(A990:F3277)=0,"",IF(#REF!="","BRAK PROTOKOŁU","DODANY"))</f>
        <v/>
      </c>
      <c r="K990" s="1"/>
      <c r="M990" s="13" t="str" cm="1">
        <f t="array" ref="M990">IF($A990="","",IFERROR(TRANSPOSE(_xlfn._xlws.FILTER(Lokale!$C$3:$C$91,Lokale!$B$3:$B$91=$A990)),""))</f>
        <v/>
      </c>
      <c r="AJ990" s="13" t="str" cm="1">
        <f t="array" ref="AJ990">IF($C990="","",IFERROR(TRANSPOSE(_xlfn._xlws.FILTER(Listy!$D$2:$D$60,Listy!$C$2:$C$60=$C990)),""))</f>
        <v/>
      </c>
    </row>
    <row r="991" spans="7:36" ht="25" customHeight="1" x14ac:dyDescent="0.35">
      <c r="G991" s="15" t="str">
        <f t="shared" si="66"/>
        <v/>
      </c>
      <c r="H991" s="12" t="str">
        <f t="shared" ca="1" si="67"/>
        <v/>
      </c>
      <c r="I991" s="14"/>
      <c r="J991" s="1" t="str">
        <f>IF(COUNTA(A991:F3278)=0,"",IF(#REF!="","BRAK PROTOKOŁU","DODANY"))</f>
        <v/>
      </c>
      <c r="K991" s="1"/>
      <c r="M991" s="13" t="str" cm="1">
        <f t="array" ref="M991">IF($A991="","",IFERROR(TRANSPOSE(_xlfn._xlws.FILTER(Lokale!$C$3:$C$91,Lokale!$B$3:$B$91=$A991)),""))</f>
        <v/>
      </c>
      <c r="AJ991" s="13" t="str" cm="1">
        <f t="array" ref="AJ991">IF($C991="","",IFERROR(TRANSPOSE(_xlfn._xlws.FILTER(Listy!$D$2:$D$60,Listy!$C$2:$C$60=$C991)),""))</f>
        <v/>
      </c>
    </row>
    <row r="992" spans="7:36" ht="25" customHeight="1" x14ac:dyDescent="0.35">
      <c r="G992" s="15" t="str">
        <f t="shared" si="66"/>
        <v/>
      </c>
      <c r="H992" s="12" t="str">
        <f t="shared" ca="1" si="67"/>
        <v/>
      </c>
      <c r="I992" s="14"/>
      <c r="J992" s="1" t="str">
        <f>IF(COUNTA(A992:F3279)=0,"",IF(#REF!="","BRAK PROTOKOŁU","DODANY"))</f>
        <v/>
      </c>
      <c r="K992" s="1"/>
      <c r="M992" s="13" t="str" cm="1">
        <f t="array" ref="M992">IF($A992="","",IFERROR(TRANSPOSE(_xlfn._xlws.FILTER(Lokale!$C$3:$C$91,Lokale!$B$3:$B$91=$A992)),""))</f>
        <v/>
      </c>
      <c r="AJ992" s="13" t="str" cm="1">
        <f t="array" ref="AJ992">IF($C992="","",IFERROR(TRANSPOSE(_xlfn._xlws.FILTER(Listy!$D$2:$D$60,Listy!$C$2:$C$60=$C992)),""))</f>
        <v/>
      </c>
    </row>
    <row r="993" spans="7:36" ht="25" customHeight="1" x14ac:dyDescent="0.35">
      <c r="G993" s="15" t="str">
        <f t="shared" si="66"/>
        <v/>
      </c>
      <c r="H993" s="12" t="str">
        <f t="shared" ca="1" si="67"/>
        <v/>
      </c>
      <c r="I993" s="14"/>
      <c r="J993" s="1" t="str">
        <f>IF(COUNTA(A993:F3280)=0,"",IF(#REF!="","BRAK PROTOKOŁU","DODANY"))</f>
        <v/>
      </c>
      <c r="K993" s="1"/>
      <c r="M993" s="13" t="str" cm="1">
        <f t="array" ref="M993">IF($A993="","",IFERROR(TRANSPOSE(_xlfn._xlws.FILTER(Lokale!$C$3:$C$91,Lokale!$B$3:$B$91=$A993)),""))</f>
        <v/>
      </c>
      <c r="AJ993" s="13" t="str" cm="1">
        <f t="array" ref="AJ993">IF($C993="","",IFERROR(TRANSPOSE(_xlfn._xlws.FILTER(Listy!$D$2:$D$60,Listy!$C$2:$C$60=$C993)),""))</f>
        <v/>
      </c>
    </row>
    <row r="994" spans="7:36" ht="25" customHeight="1" x14ac:dyDescent="0.35">
      <c r="G994" s="15" t="str">
        <f t="shared" ref="G994:G1057" si="68">IF(OR(E994="",F994=""),"",DATE(YEAR(E994),MONTH(E994)+F994,DAY(E994)))</f>
        <v/>
      </c>
      <c r="H994" s="12" t="str">
        <f t="shared" ref="H994:H1057" ca="1" si="69">IF(G994="","",IF(G994&lt;TODAY(),"PO TERMINIE",IF(G994&lt;=TODAY()+14,"DO WYKONANIA","OK")))</f>
        <v/>
      </c>
      <c r="I994" s="14"/>
      <c r="J994" s="1" t="str">
        <f>IF(COUNTA(A994:F3281)=0,"",IF(#REF!="","BRAK PROTOKOŁU","DODANY"))</f>
        <v/>
      </c>
      <c r="K994" s="1"/>
      <c r="M994" s="13" t="str" cm="1">
        <f t="array" ref="M994">IF($A994="","",IFERROR(TRANSPOSE(_xlfn._xlws.FILTER(Lokale!$C$3:$C$91,Lokale!$B$3:$B$91=$A994)),""))</f>
        <v/>
      </c>
      <c r="AJ994" s="13" t="str" cm="1">
        <f t="array" ref="AJ994">IF($C994="","",IFERROR(TRANSPOSE(_xlfn._xlws.FILTER(Listy!$D$2:$D$60,Listy!$C$2:$C$60=$C994)),""))</f>
        <v/>
      </c>
    </row>
    <row r="995" spans="7:36" ht="25" customHeight="1" x14ac:dyDescent="0.35">
      <c r="G995" s="15" t="str">
        <f t="shared" si="68"/>
        <v/>
      </c>
      <c r="H995" s="12" t="str">
        <f t="shared" ca="1" si="69"/>
        <v/>
      </c>
      <c r="I995" s="14"/>
      <c r="J995" s="1" t="str">
        <f>IF(COUNTA(A995:F3282)=0,"",IF(#REF!="","BRAK PROTOKOŁU","DODANY"))</f>
        <v/>
      </c>
      <c r="K995" s="1"/>
      <c r="M995" s="13" t="str" cm="1">
        <f t="array" ref="M995">IF($A995="","",IFERROR(TRANSPOSE(_xlfn._xlws.FILTER(Lokale!$C$3:$C$91,Lokale!$B$3:$B$91=$A995)),""))</f>
        <v/>
      </c>
      <c r="AJ995" s="13" t="str" cm="1">
        <f t="array" ref="AJ995">IF($C995="","",IFERROR(TRANSPOSE(_xlfn._xlws.FILTER(Listy!$D$2:$D$60,Listy!$C$2:$C$60=$C995)),""))</f>
        <v/>
      </c>
    </row>
    <row r="996" spans="7:36" ht="25" customHeight="1" x14ac:dyDescent="0.35">
      <c r="G996" s="15" t="str">
        <f t="shared" si="68"/>
        <v/>
      </c>
      <c r="H996" s="12" t="str">
        <f t="shared" ca="1" si="69"/>
        <v/>
      </c>
      <c r="I996" s="14"/>
      <c r="J996" s="1" t="str">
        <f>IF(COUNTA(A996:F3283)=0,"",IF(#REF!="","BRAK PROTOKOŁU","DODANY"))</f>
        <v/>
      </c>
      <c r="K996" s="1"/>
      <c r="M996" s="13" t="str" cm="1">
        <f t="array" ref="M996">IF($A996="","",IFERROR(TRANSPOSE(_xlfn._xlws.FILTER(Lokale!$C$3:$C$91,Lokale!$B$3:$B$91=$A996)),""))</f>
        <v/>
      </c>
      <c r="AJ996" s="13" t="str" cm="1">
        <f t="array" ref="AJ996">IF($C996="","",IFERROR(TRANSPOSE(_xlfn._xlws.FILTER(Listy!$D$2:$D$60,Listy!$C$2:$C$60=$C996)),""))</f>
        <v/>
      </c>
    </row>
    <row r="997" spans="7:36" ht="25" customHeight="1" x14ac:dyDescent="0.35">
      <c r="G997" s="15" t="str">
        <f t="shared" si="68"/>
        <v/>
      </c>
      <c r="H997" s="12" t="str">
        <f t="shared" ca="1" si="69"/>
        <v/>
      </c>
      <c r="I997" s="14"/>
      <c r="J997" s="1" t="str">
        <f>IF(COUNTA(A997:F3284)=0,"",IF(#REF!="","BRAK PROTOKOŁU","DODANY"))</f>
        <v/>
      </c>
      <c r="K997" s="1"/>
      <c r="M997" s="13" t="str" cm="1">
        <f t="array" ref="M997">IF($A997="","",IFERROR(TRANSPOSE(_xlfn._xlws.FILTER(Lokale!$C$3:$C$91,Lokale!$B$3:$B$91=$A997)),""))</f>
        <v/>
      </c>
      <c r="AJ997" s="13" t="str" cm="1">
        <f t="array" ref="AJ997">IF($C997="","",IFERROR(TRANSPOSE(_xlfn._xlws.FILTER(Listy!$D$2:$D$60,Listy!$C$2:$C$60=$C997)),""))</f>
        <v/>
      </c>
    </row>
    <row r="998" spans="7:36" ht="25" customHeight="1" x14ac:dyDescent="0.35">
      <c r="G998" s="15" t="str">
        <f t="shared" si="68"/>
        <v/>
      </c>
      <c r="H998" s="12" t="str">
        <f t="shared" ca="1" si="69"/>
        <v/>
      </c>
      <c r="I998" s="14"/>
      <c r="J998" s="1" t="str">
        <f>IF(COUNTA(A998:F3285)=0,"",IF(#REF!="","BRAK PROTOKOŁU","DODANY"))</f>
        <v/>
      </c>
      <c r="K998" s="1"/>
      <c r="M998" s="13" t="str" cm="1">
        <f t="array" ref="M998">IF($A998="","",IFERROR(TRANSPOSE(_xlfn._xlws.FILTER(Lokale!$C$3:$C$91,Lokale!$B$3:$B$91=$A998)),""))</f>
        <v/>
      </c>
      <c r="AJ998" s="13" t="str" cm="1">
        <f t="array" ref="AJ998">IF($C998="","",IFERROR(TRANSPOSE(_xlfn._xlws.FILTER(Listy!$D$2:$D$60,Listy!$C$2:$C$60=$C998)),""))</f>
        <v/>
      </c>
    </row>
    <row r="999" spans="7:36" ht="25" customHeight="1" x14ac:dyDescent="0.35">
      <c r="G999" s="15" t="str">
        <f t="shared" si="68"/>
        <v/>
      </c>
      <c r="H999" s="12" t="str">
        <f t="shared" ca="1" si="69"/>
        <v/>
      </c>
      <c r="I999" s="14"/>
      <c r="J999" s="1" t="str">
        <f>IF(COUNTA(A999:F3286)=0,"",IF(#REF!="","BRAK PROTOKOŁU","DODANY"))</f>
        <v/>
      </c>
      <c r="K999" s="1"/>
      <c r="M999" s="13" t="str" cm="1">
        <f t="array" ref="M999">IF($A999="","",IFERROR(TRANSPOSE(_xlfn._xlws.FILTER(Lokale!$C$3:$C$91,Lokale!$B$3:$B$91=$A999)),""))</f>
        <v/>
      </c>
      <c r="AJ999" s="13" t="str" cm="1">
        <f t="array" ref="AJ999">IF($C999="","",IFERROR(TRANSPOSE(_xlfn._xlws.FILTER(Listy!$D$2:$D$60,Listy!$C$2:$C$60=$C999)),""))</f>
        <v/>
      </c>
    </row>
    <row r="1000" spans="7:36" ht="25" customHeight="1" x14ac:dyDescent="0.35">
      <c r="G1000" s="15" t="str">
        <f t="shared" si="68"/>
        <v/>
      </c>
      <c r="H1000" s="12" t="str">
        <f t="shared" ca="1" si="69"/>
        <v/>
      </c>
      <c r="I1000" s="14"/>
      <c r="J1000" s="1" t="str">
        <f>IF(COUNTA(A1000:F3287)=0,"",IF(#REF!="","BRAK PROTOKOŁU","DODANY"))</f>
        <v/>
      </c>
      <c r="K1000" s="1"/>
      <c r="M1000" s="13" t="str" cm="1">
        <f t="array" ref="M1000">IF($A1000="","",IFERROR(TRANSPOSE(_xlfn._xlws.FILTER(Lokale!$C$3:$C$91,Lokale!$B$3:$B$91=$A1000)),""))</f>
        <v/>
      </c>
      <c r="AJ1000" s="13" t="str" cm="1">
        <f t="array" ref="AJ1000">IF($C1000="","",IFERROR(TRANSPOSE(_xlfn._xlws.FILTER(Listy!$D$2:$D$60,Listy!$C$2:$C$60=$C1000)),""))</f>
        <v/>
      </c>
    </row>
    <row r="1001" spans="7:36" ht="25" customHeight="1" x14ac:dyDescent="0.35">
      <c r="G1001" s="15" t="str">
        <f t="shared" si="68"/>
        <v/>
      </c>
      <c r="H1001" s="12" t="str">
        <f t="shared" ca="1" si="69"/>
        <v/>
      </c>
      <c r="I1001" s="14"/>
      <c r="J1001" s="1" t="str">
        <f>IF(COUNTA(A1001:F3288)=0,"",IF(#REF!="","BRAK PROTOKOŁU","DODANY"))</f>
        <v/>
      </c>
      <c r="K1001" s="1"/>
      <c r="M1001" s="13" t="str" cm="1">
        <f t="array" ref="M1001">IF($A1001="","",IFERROR(TRANSPOSE(_xlfn._xlws.FILTER(Lokale!$C$3:$C$91,Lokale!$B$3:$B$91=$A1001)),""))</f>
        <v/>
      </c>
      <c r="AJ1001" s="13" t="str" cm="1">
        <f t="array" ref="AJ1001">IF($C1001="","",IFERROR(TRANSPOSE(_xlfn._xlws.FILTER(Listy!$D$2:$D$60,Listy!$C$2:$C$60=$C1001)),""))</f>
        <v/>
      </c>
    </row>
    <row r="1002" spans="7:36" ht="25" customHeight="1" x14ac:dyDescent="0.35">
      <c r="G1002" s="15" t="str">
        <f t="shared" si="68"/>
        <v/>
      </c>
      <c r="H1002" s="12" t="str">
        <f t="shared" ca="1" si="69"/>
        <v/>
      </c>
      <c r="I1002" s="14"/>
      <c r="J1002" s="1" t="str">
        <f>IF(COUNTA(A1002:F3289)=0,"",IF(#REF!="","BRAK PROTOKOŁU","DODANY"))</f>
        <v/>
      </c>
      <c r="K1002" s="1"/>
      <c r="M1002" s="13" t="str" cm="1">
        <f t="array" ref="M1002">IF($A1002="","",IFERROR(TRANSPOSE(_xlfn._xlws.FILTER(Lokale!$C$3:$C$91,Lokale!$B$3:$B$91=$A1002)),""))</f>
        <v/>
      </c>
      <c r="AJ1002" s="13" t="str" cm="1">
        <f t="array" ref="AJ1002">IF($C1002="","",IFERROR(TRANSPOSE(_xlfn._xlws.FILTER(Listy!$D$2:$D$60,Listy!$C$2:$C$60=$C1002)),""))</f>
        <v/>
      </c>
    </row>
    <row r="1003" spans="7:36" ht="25" customHeight="1" x14ac:dyDescent="0.35">
      <c r="G1003" s="15" t="str">
        <f t="shared" si="68"/>
        <v/>
      </c>
      <c r="H1003" s="12" t="str">
        <f t="shared" ca="1" si="69"/>
        <v/>
      </c>
      <c r="I1003" s="14"/>
      <c r="J1003" s="1" t="str">
        <f>IF(COUNTA(A1003:F3290)=0,"",IF(#REF!="","BRAK PROTOKOŁU","DODANY"))</f>
        <v/>
      </c>
      <c r="K1003" s="1"/>
      <c r="M1003" s="13" t="str" cm="1">
        <f t="array" ref="M1003">IF($A1003="","",IFERROR(TRANSPOSE(_xlfn._xlws.FILTER(Lokale!$C$3:$C$91,Lokale!$B$3:$B$91=$A1003)),""))</f>
        <v/>
      </c>
      <c r="AJ1003" s="13" t="str" cm="1">
        <f t="array" ref="AJ1003">IF($C1003="","",IFERROR(TRANSPOSE(_xlfn._xlws.FILTER(Listy!$D$2:$D$60,Listy!$C$2:$C$60=$C1003)),""))</f>
        <v/>
      </c>
    </row>
    <row r="1004" spans="7:36" ht="25" customHeight="1" x14ac:dyDescent="0.35">
      <c r="G1004" s="15" t="str">
        <f t="shared" si="68"/>
        <v/>
      </c>
      <c r="H1004" s="12" t="str">
        <f t="shared" ca="1" si="69"/>
        <v/>
      </c>
      <c r="I1004" s="14"/>
      <c r="J1004" s="1" t="str">
        <f>IF(COUNTA(A1004:F3291)=0,"",IF(#REF!="","BRAK PROTOKOŁU","DODANY"))</f>
        <v/>
      </c>
      <c r="K1004" s="1"/>
      <c r="M1004" s="13" t="str" cm="1">
        <f t="array" ref="M1004">IF($A1004="","",IFERROR(TRANSPOSE(_xlfn._xlws.FILTER(Lokale!$C$3:$C$91,Lokale!$B$3:$B$91=$A1004)),""))</f>
        <v/>
      </c>
      <c r="AJ1004" s="13" t="str" cm="1">
        <f t="array" ref="AJ1004">IF($C1004="","",IFERROR(TRANSPOSE(_xlfn._xlws.FILTER(Listy!$D$2:$D$60,Listy!$C$2:$C$60=$C1004)),""))</f>
        <v/>
      </c>
    </row>
    <row r="1005" spans="7:36" ht="25" customHeight="1" x14ac:dyDescent="0.35">
      <c r="G1005" s="15" t="str">
        <f t="shared" si="68"/>
        <v/>
      </c>
      <c r="H1005" s="12" t="str">
        <f t="shared" ca="1" si="69"/>
        <v/>
      </c>
      <c r="I1005" s="14"/>
      <c r="J1005" s="1" t="str">
        <f>IF(COUNTA(A1005:F3292)=0,"",IF(#REF!="","BRAK PROTOKOŁU","DODANY"))</f>
        <v/>
      </c>
      <c r="K1005" s="1"/>
      <c r="M1005" s="13" t="str" cm="1">
        <f t="array" ref="M1005">IF($A1005="","",IFERROR(TRANSPOSE(_xlfn._xlws.FILTER(Lokale!$C$3:$C$91,Lokale!$B$3:$B$91=$A1005)),""))</f>
        <v/>
      </c>
      <c r="AJ1005" s="13" t="str" cm="1">
        <f t="array" ref="AJ1005">IF($C1005="","",IFERROR(TRANSPOSE(_xlfn._xlws.FILTER(Listy!$D$2:$D$60,Listy!$C$2:$C$60=$C1005)),""))</f>
        <v/>
      </c>
    </row>
    <row r="1006" spans="7:36" ht="25" customHeight="1" x14ac:dyDescent="0.35">
      <c r="G1006" s="15" t="str">
        <f t="shared" si="68"/>
        <v/>
      </c>
      <c r="H1006" s="12" t="str">
        <f t="shared" ca="1" si="69"/>
        <v/>
      </c>
      <c r="I1006" s="14"/>
      <c r="J1006" s="1" t="str">
        <f>IF(COUNTA(A1006:F3293)=0,"",IF(#REF!="","BRAK PROTOKOŁU","DODANY"))</f>
        <v/>
      </c>
      <c r="K1006" s="1"/>
      <c r="M1006" s="13" t="str" cm="1">
        <f t="array" ref="M1006">IF($A1006="","",IFERROR(TRANSPOSE(_xlfn._xlws.FILTER(Lokale!$C$3:$C$91,Lokale!$B$3:$B$91=$A1006)),""))</f>
        <v/>
      </c>
      <c r="AJ1006" s="13" t="str" cm="1">
        <f t="array" ref="AJ1006">IF($C1006="","",IFERROR(TRANSPOSE(_xlfn._xlws.FILTER(Listy!$D$2:$D$60,Listy!$C$2:$C$60=$C1006)),""))</f>
        <v/>
      </c>
    </row>
    <row r="1007" spans="7:36" ht="25" customHeight="1" x14ac:dyDescent="0.35">
      <c r="G1007" s="15" t="str">
        <f t="shared" si="68"/>
        <v/>
      </c>
      <c r="H1007" s="12" t="str">
        <f t="shared" ca="1" si="69"/>
        <v/>
      </c>
      <c r="I1007" s="14"/>
      <c r="J1007" s="1" t="str">
        <f>IF(COUNTA(A1007:F3294)=0,"",IF(#REF!="","BRAK PROTOKOŁU","DODANY"))</f>
        <v/>
      </c>
      <c r="K1007" s="1"/>
      <c r="M1007" s="13" t="str" cm="1">
        <f t="array" ref="M1007">IF($A1007="","",IFERROR(TRANSPOSE(_xlfn._xlws.FILTER(Lokale!$C$3:$C$91,Lokale!$B$3:$B$91=$A1007)),""))</f>
        <v/>
      </c>
      <c r="AJ1007" s="13" t="str" cm="1">
        <f t="array" ref="AJ1007">IF($C1007="","",IFERROR(TRANSPOSE(_xlfn._xlws.FILTER(Listy!$D$2:$D$60,Listy!$C$2:$C$60=$C1007)),""))</f>
        <v/>
      </c>
    </row>
    <row r="1008" spans="7:36" ht="25" customHeight="1" x14ac:dyDescent="0.35">
      <c r="G1008" s="15" t="str">
        <f t="shared" si="68"/>
        <v/>
      </c>
      <c r="H1008" s="12" t="str">
        <f t="shared" ca="1" si="69"/>
        <v/>
      </c>
      <c r="I1008" s="14"/>
      <c r="J1008" s="1" t="str">
        <f>IF(COUNTA(A1008:F3295)=0,"",IF(#REF!="","BRAK PROTOKOŁU","DODANY"))</f>
        <v/>
      </c>
      <c r="K1008" s="1"/>
      <c r="M1008" s="13" t="str" cm="1">
        <f t="array" ref="M1008">IF($A1008="","",IFERROR(TRANSPOSE(_xlfn._xlws.FILTER(Lokale!$C$3:$C$91,Lokale!$B$3:$B$91=$A1008)),""))</f>
        <v/>
      </c>
      <c r="AJ1008" s="13" t="str" cm="1">
        <f t="array" ref="AJ1008">IF($C1008="","",IFERROR(TRANSPOSE(_xlfn._xlws.FILTER(Listy!$D$2:$D$60,Listy!$C$2:$C$60=$C1008)),""))</f>
        <v/>
      </c>
    </row>
    <row r="1009" spans="7:36" ht="25" customHeight="1" x14ac:dyDescent="0.35">
      <c r="G1009" s="15" t="str">
        <f t="shared" si="68"/>
        <v/>
      </c>
      <c r="H1009" s="12" t="str">
        <f t="shared" ca="1" si="69"/>
        <v/>
      </c>
      <c r="I1009" s="14"/>
      <c r="J1009" s="1" t="str">
        <f>IF(COUNTA(A1009:F3296)=0,"",IF(#REF!="","BRAK PROTOKOŁU","DODANY"))</f>
        <v/>
      </c>
      <c r="K1009" s="1"/>
      <c r="M1009" s="13" t="str" cm="1">
        <f t="array" ref="M1009">IF($A1009="","",IFERROR(TRANSPOSE(_xlfn._xlws.FILTER(Lokale!$C$3:$C$91,Lokale!$B$3:$B$91=$A1009)),""))</f>
        <v/>
      </c>
      <c r="AJ1009" s="13" t="str" cm="1">
        <f t="array" ref="AJ1009">IF($C1009="","",IFERROR(TRANSPOSE(_xlfn._xlws.FILTER(Listy!$D$2:$D$60,Listy!$C$2:$C$60=$C1009)),""))</f>
        <v/>
      </c>
    </row>
    <row r="1010" spans="7:36" ht="25" customHeight="1" x14ac:dyDescent="0.35">
      <c r="G1010" s="15" t="str">
        <f t="shared" si="68"/>
        <v/>
      </c>
      <c r="H1010" s="12" t="str">
        <f t="shared" ca="1" si="69"/>
        <v/>
      </c>
      <c r="I1010" s="14"/>
      <c r="J1010" s="1" t="str">
        <f>IF(COUNTA(A1010:F3297)=0,"",IF(#REF!="","BRAK PROTOKOŁU","DODANY"))</f>
        <v/>
      </c>
      <c r="K1010" s="1"/>
      <c r="M1010" s="13" t="str" cm="1">
        <f t="array" ref="M1010">IF($A1010="","",IFERROR(TRANSPOSE(_xlfn._xlws.FILTER(Lokale!$C$3:$C$91,Lokale!$B$3:$B$91=$A1010)),""))</f>
        <v/>
      </c>
      <c r="AJ1010" s="13" t="str" cm="1">
        <f t="array" ref="AJ1010">IF($C1010="","",IFERROR(TRANSPOSE(_xlfn._xlws.FILTER(Listy!$D$2:$D$60,Listy!$C$2:$C$60=$C1010)),""))</f>
        <v/>
      </c>
    </row>
    <row r="1011" spans="7:36" ht="25" customHeight="1" x14ac:dyDescent="0.35">
      <c r="G1011" s="15" t="str">
        <f t="shared" si="68"/>
        <v/>
      </c>
      <c r="H1011" s="12" t="str">
        <f t="shared" ca="1" si="69"/>
        <v/>
      </c>
      <c r="I1011" s="14"/>
      <c r="J1011" s="1" t="str">
        <f>IF(COUNTA(A1011:F3298)=0,"",IF(#REF!="","BRAK PROTOKOŁU","DODANY"))</f>
        <v/>
      </c>
      <c r="K1011" s="1"/>
      <c r="M1011" s="13" t="str" cm="1">
        <f t="array" ref="M1011">IF($A1011="","",IFERROR(TRANSPOSE(_xlfn._xlws.FILTER(Lokale!$C$3:$C$91,Lokale!$B$3:$B$91=$A1011)),""))</f>
        <v/>
      </c>
      <c r="AJ1011" s="13" t="str" cm="1">
        <f t="array" ref="AJ1011">IF($C1011="","",IFERROR(TRANSPOSE(_xlfn._xlws.FILTER(Listy!$D$2:$D$60,Listy!$C$2:$C$60=$C1011)),""))</f>
        <v/>
      </c>
    </row>
    <row r="1012" spans="7:36" ht="25" customHeight="1" x14ac:dyDescent="0.35">
      <c r="G1012" s="15" t="str">
        <f t="shared" si="68"/>
        <v/>
      </c>
      <c r="H1012" s="12" t="str">
        <f t="shared" ca="1" si="69"/>
        <v/>
      </c>
      <c r="I1012" s="14"/>
      <c r="J1012" s="1" t="str">
        <f>IF(COUNTA(A1012:F3299)=0,"",IF(#REF!="","BRAK PROTOKOŁU","DODANY"))</f>
        <v/>
      </c>
      <c r="K1012" s="1"/>
      <c r="M1012" s="13" t="str" cm="1">
        <f t="array" ref="M1012">IF($A1012="","",IFERROR(TRANSPOSE(_xlfn._xlws.FILTER(Lokale!$C$3:$C$91,Lokale!$B$3:$B$91=$A1012)),""))</f>
        <v/>
      </c>
      <c r="AJ1012" s="13" t="str" cm="1">
        <f t="array" ref="AJ1012">IF($C1012="","",IFERROR(TRANSPOSE(_xlfn._xlws.FILTER(Listy!$D$2:$D$60,Listy!$C$2:$C$60=$C1012)),""))</f>
        <v/>
      </c>
    </row>
    <row r="1013" spans="7:36" ht="25" customHeight="1" x14ac:dyDescent="0.35">
      <c r="G1013" s="15" t="str">
        <f t="shared" si="68"/>
        <v/>
      </c>
      <c r="H1013" s="12" t="str">
        <f t="shared" ca="1" si="69"/>
        <v/>
      </c>
      <c r="I1013" s="14"/>
      <c r="J1013" s="1" t="str">
        <f>IF(COUNTA(A1013:F3300)=0,"",IF(#REF!="","BRAK PROTOKOŁU","DODANY"))</f>
        <v/>
      </c>
      <c r="K1013" s="1"/>
      <c r="M1013" s="13" t="str" cm="1">
        <f t="array" ref="M1013">IF($A1013="","",IFERROR(TRANSPOSE(_xlfn._xlws.FILTER(Lokale!$C$3:$C$91,Lokale!$B$3:$B$91=$A1013)),""))</f>
        <v/>
      </c>
      <c r="AJ1013" s="13" t="str" cm="1">
        <f t="array" ref="AJ1013">IF($C1013="","",IFERROR(TRANSPOSE(_xlfn._xlws.FILTER(Listy!$D$2:$D$60,Listy!$C$2:$C$60=$C1013)),""))</f>
        <v/>
      </c>
    </row>
    <row r="1014" spans="7:36" ht="25" customHeight="1" x14ac:dyDescent="0.35">
      <c r="G1014" s="15" t="str">
        <f t="shared" si="68"/>
        <v/>
      </c>
      <c r="H1014" s="12" t="str">
        <f t="shared" ca="1" si="69"/>
        <v/>
      </c>
      <c r="I1014" s="14"/>
      <c r="J1014" s="1" t="str">
        <f>IF(COUNTA(A1014:F3301)=0,"",IF(#REF!="","BRAK PROTOKOŁU","DODANY"))</f>
        <v/>
      </c>
      <c r="K1014" s="1"/>
      <c r="M1014" s="13" t="str" cm="1">
        <f t="array" ref="M1014">IF($A1014="","",IFERROR(TRANSPOSE(_xlfn._xlws.FILTER(Lokale!$C$3:$C$91,Lokale!$B$3:$B$91=$A1014)),""))</f>
        <v/>
      </c>
      <c r="AJ1014" s="13" t="str" cm="1">
        <f t="array" ref="AJ1014">IF($C1014="","",IFERROR(TRANSPOSE(_xlfn._xlws.FILTER(Listy!$D$2:$D$60,Listy!$C$2:$C$60=$C1014)),""))</f>
        <v/>
      </c>
    </row>
    <row r="1015" spans="7:36" ht="25" customHeight="1" x14ac:dyDescent="0.35">
      <c r="G1015" s="15" t="str">
        <f t="shared" si="68"/>
        <v/>
      </c>
      <c r="H1015" s="12" t="str">
        <f t="shared" ca="1" si="69"/>
        <v/>
      </c>
      <c r="I1015" s="14"/>
      <c r="J1015" s="1" t="str">
        <f>IF(COUNTA(A1015:F3302)=0,"",IF(#REF!="","BRAK PROTOKOŁU","DODANY"))</f>
        <v/>
      </c>
      <c r="K1015" s="1"/>
      <c r="M1015" s="13" t="str" cm="1">
        <f t="array" ref="M1015">IF($A1015="","",IFERROR(TRANSPOSE(_xlfn._xlws.FILTER(Lokale!$C$3:$C$91,Lokale!$B$3:$B$91=$A1015)),""))</f>
        <v/>
      </c>
      <c r="AJ1015" s="13" t="str" cm="1">
        <f t="array" ref="AJ1015">IF($C1015="","",IFERROR(TRANSPOSE(_xlfn._xlws.FILTER(Listy!$D$2:$D$60,Listy!$C$2:$C$60=$C1015)),""))</f>
        <v/>
      </c>
    </row>
    <row r="1016" spans="7:36" ht="25" customHeight="1" x14ac:dyDescent="0.35">
      <c r="G1016" s="15" t="str">
        <f t="shared" si="68"/>
        <v/>
      </c>
      <c r="H1016" s="12" t="str">
        <f t="shared" ca="1" si="69"/>
        <v/>
      </c>
      <c r="I1016" s="14"/>
      <c r="J1016" s="1" t="str">
        <f>IF(COUNTA(A1016:F3303)=0,"",IF(#REF!="","BRAK PROTOKOŁU","DODANY"))</f>
        <v/>
      </c>
      <c r="K1016" s="1"/>
      <c r="M1016" s="13" t="str" cm="1">
        <f t="array" ref="M1016">IF($A1016="","",IFERROR(TRANSPOSE(_xlfn._xlws.FILTER(Lokale!$C$3:$C$91,Lokale!$B$3:$B$91=$A1016)),""))</f>
        <v/>
      </c>
      <c r="AJ1016" s="13" t="str" cm="1">
        <f t="array" ref="AJ1016">IF($C1016="","",IFERROR(TRANSPOSE(_xlfn._xlws.FILTER(Listy!$D$2:$D$60,Listy!$C$2:$C$60=$C1016)),""))</f>
        <v/>
      </c>
    </row>
    <row r="1017" spans="7:36" ht="25" customHeight="1" x14ac:dyDescent="0.35">
      <c r="G1017" s="15" t="str">
        <f t="shared" si="68"/>
        <v/>
      </c>
      <c r="H1017" s="12" t="str">
        <f t="shared" ca="1" si="69"/>
        <v/>
      </c>
      <c r="I1017" s="14"/>
      <c r="J1017" s="1" t="str">
        <f>IF(COUNTA(A1017:F3304)=0,"",IF(#REF!="","BRAK PROTOKOŁU","DODANY"))</f>
        <v/>
      </c>
      <c r="K1017" s="1"/>
      <c r="M1017" s="13" t="str" cm="1">
        <f t="array" ref="M1017">IF($A1017="","",IFERROR(TRANSPOSE(_xlfn._xlws.FILTER(Lokale!$C$3:$C$91,Lokale!$B$3:$B$91=$A1017)),""))</f>
        <v/>
      </c>
      <c r="AJ1017" s="13" t="str" cm="1">
        <f t="array" ref="AJ1017">IF($C1017="","",IFERROR(TRANSPOSE(_xlfn._xlws.FILTER(Listy!$D$2:$D$60,Listy!$C$2:$C$60=$C1017)),""))</f>
        <v/>
      </c>
    </row>
    <row r="1018" spans="7:36" ht="25" customHeight="1" x14ac:dyDescent="0.35">
      <c r="G1018" s="15" t="str">
        <f t="shared" si="68"/>
        <v/>
      </c>
      <c r="H1018" s="12" t="str">
        <f t="shared" ca="1" si="69"/>
        <v/>
      </c>
      <c r="I1018" s="14"/>
      <c r="J1018" s="1" t="str">
        <f>IF(COUNTA(A1018:F3305)=0,"",IF(#REF!="","BRAK PROTOKOŁU","DODANY"))</f>
        <v/>
      </c>
      <c r="K1018" s="1"/>
      <c r="M1018" s="13" t="str" cm="1">
        <f t="array" ref="M1018">IF($A1018="","",IFERROR(TRANSPOSE(_xlfn._xlws.FILTER(Lokale!$C$3:$C$91,Lokale!$B$3:$B$91=$A1018)),""))</f>
        <v/>
      </c>
      <c r="AJ1018" s="13" t="str" cm="1">
        <f t="array" ref="AJ1018">IF($C1018="","",IFERROR(TRANSPOSE(_xlfn._xlws.FILTER(Listy!$D$2:$D$60,Listy!$C$2:$C$60=$C1018)),""))</f>
        <v/>
      </c>
    </row>
    <row r="1019" spans="7:36" ht="25" customHeight="1" x14ac:dyDescent="0.35">
      <c r="G1019" s="15" t="str">
        <f t="shared" si="68"/>
        <v/>
      </c>
      <c r="H1019" s="12" t="str">
        <f t="shared" ca="1" si="69"/>
        <v/>
      </c>
      <c r="I1019" s="14"/>
      <c r="J1019" s="1" t="str">
        <f>IF(COUNTA(A1019:F3306)=0,"",IF(#REF!="","BRAK PROTOKOŁU","DODANY"))</f>
        <v/>
      </c>
      <c r="K1019" s="1"/>
      <c r="M1019" s="13" t="str" cm="1">
        <f t="array" ref="M1019">IF($A1019="","",IFERROR(TRANSPOSE(_xlfn._xlws.FILTER(Lokale!$C$3:$C$91,Lokale!$B$3:$B$91=$A1019)),""))</f>
        <v/>
      </c>
      <c r="AJ1019" s="13" t="str" cm="1">
        <f t="array" ref="AJ1019">IF($C1019="","",IFERROR(TRANSPOSE(_xlfn._xlws.FILTER(Listy!$D$2:$D$60,Listy!$C$2:$C$60=$C1019)),""))</f>
        <v/>
      </c>
    </row>
    <row r="1020" spans="7:36" ht="25" customHeight="1" x14ac:dyDescent="0.35">
      <c r="G1020" s="15" t="str">
        <f t="shared" si="68"/>
        <v/>
      </c>
      <c r="H1020" s="12" t="str">
        <f t="shared" ca="1" si="69"/>
        <v/>
      </c>
      <c r="I1020" s="14"/>
      <c r="J1020" s="1" t="str">
        <f>IF(COUNTA(A1020:F3307)=0,"",IF(#REF!="","BRAK PROTOKOŁU","DODANY"))</f>
        <v/>
      </c>
      <c r="K1020" s="1"/>
      <c r="M1020" s="13" t="str" cm="1">
        <f t="array" ref="M1020">IF($A1020="","",IFERROR(TRANSPOSE(_xlfn._xlws.FILTER(Lokale!$C$3:$C$91,Lokale!$B$3:$B$91=$A1020)),""))</f>
        <v/>
      </c>
      <c r="AJ1020" s="13" t="str" cm="1">
        <f t="array" ref="AJ1020">IF($C1020="","",IFERROR(TRANSPOSE(_xlfn._xlws.FILTER(Listy!$D$2:$D$60,Listy!$C$2:$C$60=$C1020)),""))</f>
        <v/>
      </c>
    </row>
    <row r="1021" spans="7:36" ht="25" customHeight="1" x14ac:dyDescent="0.35">
      <c r="G1021" s="15" t="str">
        <f t="shared" si="68"/>
        <v/>
      </c>
      <c r="H1021" s="12" t="str">
        <f t="shared" ca="1" si="69"/>
        <v/>
      </c>
      <c r="I1021" s="14"/>
      <c r="J1021" s="1" t="str">
        <f>IF(COUNTA(A1021:F3308)=0,"",IF(#REF!="","BRAK PROTOKOŁU","DODANY"))</f>
        <v/>
      </c>
      <c r="K1021" s="1"/>
      <c r="M1021" s="13" t="str" cm="1">
        <f t="array" ref="M1021">IF($A1021="","",IFERROR(TRANSPOSE(_xlfn._xlws.FILTER(Lokale!$C$3:$C$91,Lokale!$B$3:$B$91=$A1021)),""))</f>
        <v/>
      </c>
      <c r="AJ1021" s="13" t="str" cm="1">
        <f t="array" ref="AJ1021">IF($C1021="","",IFERROR(TRANSPOSE(_xlfn._xlws.FILTER(Listy!$D$2:$D$60,Listy!$C$2:$C$60=$C1021)),""))</f>
        <v/>
      </c>
    </row>
    <row r="1022" spans="7:36" ht="25" customHeight="1" x14ac:dyDescent="0.35">
      <c r="G1022" s="15" t="str">
        <f t="shared" si="68"/>
        <v/>
      </c>
      <c r="H1022" s="12" t="str">
        <f t="shared" ca="1" si="69"/>
        <v/>
      </c>
      <c r="I1022" s="14"/>
      <c r="J1022" s="1" t="str">
        <f>IF(COUNTA(A1022:F3309)=0,"",IF(#REF!="","BRAK PROTOKOŁU","DODANY"))</f>
        <v/>
      </c>
      <c r="K1022" s="1"/>
      <c r="M1022" s="13" t="str" cm="1">
        <f t="array" ref="M1022">IF($A1022="","",IFERROR(TRANSPOSE(_xlfn._xlws.FILTER(Lokale!$C$3:$C$91,Lokale!$B$3:$B$91=$A1022)),""))</f>
        <v/>
      </c>
      <c r="AJ1022" s="13" t="str" cm="1">
        <f t="array" ref="AJ1022">IF($C1022="","",IFERROR(TRANSPOSE(_xlfn._xlws.FILTER(Listy!$D$2:$D$60,Listy!$C$2:$C$60=$C1022)),""))</f>
        <v/>
      </c>
    </row>
    <row r="1023" spans="7:36" ht="25" customHeight="1" x14ac:dyDescent="0.35">
      <c r="G1023" s="15" t="str">
        <f t="shared" si="68"/>
        <v/>
      </c>
      <c r="H1023" s="12" t="str">
        <f t="shared" ca="1" si="69"/>
        <v/>
      </c>
      <c r="I1023" s="14"/>
      <c r="J1023" s="1" t="str">
        <f>IF(COUNTA(A1023:F3310)=0,"",IF(#REF!="","BRAK PROTOKOŁU","DODANY"))</f>
        <v/>
      </c>
      <c r="K1023" s="1"/>
      <c r="M1023" s="13" t="str" cm="1">
        <f t="array" ref="M1023">IF($A1023="","",IFERROR(TRANSPOSE(_xlfn._xlws.FILTER(Lokale!$C$3:$C$91,Lokale!$B$3:$B$91=$A1023)),""))</f>
        <v/>
      </c>
      <c r="AJ1023" s="13" t="str" cm="1">
        <f t="array" ref="AJ1023">IF($C1023="","",IFERROR(TRANSPOSE(_xlfn._xlws.FILTER(Listy!$D$2:$D$60,Listy!$C$2:$C$60=$C1023)),""))</f>
        <v/>
      </c>
    </row>
    <row r="1024" spans="7:36" ht="25" customHeight="1" x14ac:dyDescent="0.35">
      <c r="G1024" s="15" t="str">
        <f t="shared" si="68"/>
        <v/>
      </c>
      <c r="H1024" s="12" t="str">
        <f t="shared" ca="1" si="69"/>
        <v/>
      </c>
      <c r="I1024" s="14"/>
      <c r="J1024" s="1" t="str">
        <f>IF(COUNTA(A1024:F3311)=0,"",IF(#REF!="","BRAK PROTOKOŁU","DODANY"))</f>
        <v/>
      </c>
      <c r="K1024" s="1"/>
      <c r="M1024" s="13" t="str" cm="1">
        <f t="array" ref="M1024">IF($A1024="","",IFERROR(TRANSPOSE(_xlfn._xlws.FILTER(Lokale!$C$3:$C$91,Lokale!$B$3:$B$91=$A1024)),""))</f>
        <v/>
      </c>
      <c r="AJ1024" s="13" t="str" cm="1">
        <f t="array" ref="AJ1024">IF($C1024="","",IFERROR(TRANSPOSE(_xlfn._xlws.FILTER(Listy!$D$2:$D$60,Listy!$C$2:$C$60=$C1024)),""))</f>
        <v/>
      </c>
    </row>
    <row r="1025" spans="7:36" ht="25" customHeight="1" x14ac:dyDescent="0.35">
      <c r="G1025" s="15" t="str">
        <f t="shared" si="68"/>
        <v/>
      </c>
      <c r="H1025" s="12" t="str">
        <f t="shared" ca="1" si="69"/>
        <v/>
      </c>
      <c r="I1025" s="14"/>
      <c r="J1025" s="1" t="str">
        <f>IF(COUNTA(A1025:F3312)=0,"",IF(#REF!="","BRAK PROTOKOŁU","DODANY"))</f>
        <v/>
      </c>
      <c r="K1025" s="1"/>
      <c r="M1025" s="13" t="str" cm="1">
        <f t="array" ref="M1025">IF($A1025="","",IFERROR(TRANSPOSE(_xlfn._xlws.FILTER(Lokale!$C$3:$C$91,Lokale!$B$3:$B$91=$A1025)),""))</f>
        <v/>
      </c>
      <c r="AJ1025" s="13" t="str" cm="1">
        <f t="array" ref="AJ1025">IF($C1025="","",IFERROR(TRANSPOSE(_xlfn._xlws.FILTER(Listy!$D$2:$D$60,Listy!$C$2:$C$60=$C1025)),""))</f>
        <v/>
      </c>
    </row>
    <row r="1026" spans="7:36" ht="25" customHeight="1" x14ac:dyDescent="0.35">
      <c r="G1026" s="15" t="str">
        <f t="shared" si="68"/>
        <v/>
      </c>
      <c r="H1026" s="12" t="str">
        <f t="shared" ca="1" si="69"/>
        <v/>
      </c>
      <c r="I1026" s="14"/>
      <c r="J1026" s="1" t="str">
        <f>IF(COUNTA(A1026:F3313)=0,"",IF(#REF!="","BRAK PROTOKOŁU","DODANY"))</f>
        <v/>
      </c>
      <c r="K1026" s="1"/>
      <c r="M1026" s="13" t="str" cm="1">
        <f t="array" ref="M1026">IF($A1026="","",IFERROR(TRANSPOSE(_xlfn._xlws.FILTER(Lokale!$C$3:$C$91,Lokale!$B$3:$B$91=$A1026)),""))</f>
        <v/>
      </c>
      <c r="AJ1026" s="13" t="str" cm="1">
        <f t="array" ref="AJ1026">IF($C1026="","",IFERROR(TRANSPOSE(_xlfn._xlws.FILTER(Listy!$D$2:$D$60,Listy!$C$2:$C$60=$C1026)),""))</f>
        <v/>
      </c>
    </row>
    <row r="1027" spans="7:36" ht="25" customHeight="1" x14ac:dyDescent="0.35">
      <c r="G1027" s="15" t="str">
        <f t="shared" si="68"/>
        <v/>
      </c>
      <c r="H1027" s="12" t="str">
        <f t="shared" ca="1" si="69"/>
        <v/>
      </c>
      <c r="I1027" s="14"/>
      <c r="J1027" s="1" t="str">
        <f>IF(COUNTA(A1027:F3314)=0,"",IF(#REF!="","BRAK PROTOKOŁU","DODANY"))</f>
        <v/>
      </c>
      <c r="K1027" s="1"/>
      <c r="M1027" s="13" t="str" cm="1">
        <f t="array" ref="M1027">IF($A1027="","",IFERROR(TRANSPOSE(_xlfn._xlws.FILTER(Lokale!$C$3:$C$91,Lokale!$B$3:$B$91=$A1027)),""))</f>
        <v/>
      </c>
      <c r="AJ1027" s="13" t="str" cm="1">
        <f t="array" ref="AJ1027">IF($C1027="","",IFERROR(TRANSPOSE(_xlfn._xlws.FILTER(Listy!$D$2:$D$60,Listy!$C$2:$C$60=$C1027)),""))</f>
        <v/>
      </c>
    </row>
    <row r="1028" spans="7:36" ht="25" customHeight="1" x14ac:dyDescent="0.35">
      <c r="G1028" s="15" t="str">
        <f t="shared" si="68"/>
        <v/>
      </c>
      <c r="H1028" s="12" t="str">
        <f t="shared" ca="1" si="69"/>
        <v/>
      </c>
      <c r="I1028" s="14"/>
      <c r="J1028" s="1" t="str">
        <f>IF(COUNTA(A1028:F3315)=0,"",IF(#REF!="","BRAK PROTOKOŁU","DODANY"))</f>
        <v/>
      </c>
      <c r="K1028" s="1"/>
      <c r="M1028" s="13" t="str" cm="1">
        <f t="array" ref="M1028">IF($A1028="","",IFERROR(TRANSPOSE(_xlfn._xlws.FILTER(Lokale!$C$3:$C$91,Lokale!$B$3:$B$91=$A1028)),""))</f>
        <v/>
      </c>
      <c r="AJ1028" s="13" t="str" cm="1">
        <f t="array" ref="AJ1028">IF($C1028="","",IFERROR(TRANSPOSE(_xlfn._xlws.FILTER(Listy!$D$2:$D$60,Listy!$C$2:$C$60=$C1028)),""))</f>
        <v/>
      </c>
    </row>
    <row r="1029" spans="7:36" ht="25" customHeight="1" x14ac:dyDescent="0.35">
      <c r="G1029" s="15" t="str">
        <f t="shared" si="68"/>
        <v/>
      </c>
      <c r="H1029" s="12" t="str">
        <f t="shared" ca="1" si="69"/>
        <v/>
      </c>
      <c r="I1029" s="14"/>
      <c r="J1029" s="1" t="str">
        <f>IF(COUNTA(A1029:F3316)=0,"",IF(#REF!="","BRAK PROTOKOŁU","DODANY"))</f>
        <v/>
      </c>
      <c r="K1029" s="1"/>
      <c r="M1029" s="13" t="str" cm="1">
        <f t="array" ref="M1029">IF($A1029="","",IFERROR(TRANSPOSE(_xlfn._xlws.FILTER(Lokale!$C$3:$C$91,Lokale!$B$3:$B$91=$A1029)),""))</f>
        <v/>
      </c>
      <c r="AJ1029" s="13" t="str" cm="1">
        <f t="array" ref="AJ1029">IF($C1029="","",IFERROR(TRANSPOSE(_xlfn._xlws.FILTER(Listy!$D$2:$D$60,Listy!$C$2:$C$60=$C1029)),""))</f>
        <v/>
      </c>
    </row>
    <row r="1030" spans="7:36" ht="25" customHeight="1" x14ac:dyDescent="0.35">
      <c r="G1030" s="15" t="str">
        <f t="shared" si="68"/>
        <v/>
      </c>
      <c r="H1030" s="12" t="str">
        <f t="shared" ca="1" si="69"/>
        <v/>
      </c>
      <c r="I1030" s="14"/>
      <c r="J1030" s="1" t="str">
        <f>IF(COUNTA(A1030:F3317)=0,"",IF(#REF!="","BRAK PROTOKOŁU","DODANY"))</f>
        <v/>
      </c>
      <c r="K1030" s="1"/>
      <c r="M1030" s="13" t="str" cm="1">
        <f t="array" ref="M1030">IF($A1030="","",IFERROR(TRANSPOSE(_xlfn._xlws.FILTER(Lokale!$C$3:$C$91,Lokale!$B$3:$B$91=$A1030)),""))</f>
        <v/>
      </c>
      <c r="AJ1030" s="13" t="str" cm="1">
        <f t="array" ref="AJ1030">IF($C1030="","",IFERROR(TRANSPOSE(_xlfn._xlws.FILTER(Listy!$D$2:$D$60,Listy!$C$2:$C$60=$C1030)),""))</f>
        <v/>
      </c>
    </row>
    <row r="1031" spans="7:36" ht="25" customHeight="1" x14ac:dyDescent="0.35">
      <c r="G1031" s="15" t="str">
        <f t="shared" si="68"/>
        <v/>
      </c>
      <c r="H1031" s="12" t="str">
        <f t="shared" ca="1" si="69"/>
        <v/>
      </c>
      <c r="I1031" s="14"/>
      <c r="J1031" s="1" t="str">
        <f>IF(COUNTA(A1031:F3318)=0,"",IF(#REF!="","BRAK PROTOKOŁU","DODANY"))</f>
        <v/>
      </c>
      <c r="K1031" s="1"/>
      <c r="M1031" s="13" t="str" cm="1">
        <f t="array" ref="M1031">IF($A1031="","",IFERROR(TRANSPOSE(_xlfn._xlws.FILTER(Lokale!$C$3:$C$91,Lokale!$B$3:$B$91=$A1031)),""))</f>
        <v/>
      </c>
      <c r="AJ1031" s="13" t="str" cm="1">
        <f t="array" ref="AJ1031">IF($C1031="","",IFERROR(TRANSPOSE(_xlfn._xlws.FILTER(Listy!$D$2:$D$60,Listy!$C$2:$C$60=$C1031)),""))</f>
        <v/>
      </c>
    </row>
    <row r="1032" spans="7:36" ht="25" customHeight="1" x14ac:dyDescent="0.35">
      <c r="G1032" s="15" t="str">
        <f t="shared" si="68"/>
        <v/>
      </c>
      <c r="H1032" s="12" t="str">
        <f t="shared" ca="1" si="69"/>
        <v/>
      </c>
      <c r="I1032" s="14"/>
      <c r="J1032" s="1" t="str">
        <f>IF(COUNTA(A1032:F3319)=0,"",IF(#REF!="","BRAK PROTOKOŁU","DODANY"))</f>
        <v/>
      </c>
      <c r="K1032" s="1"/>
      <c r="M1032" s="13" t="str" cm="1">
        <f t="array" ref="M1032">IF($A1032="","",IFERROR(TRANSPOSE(_xlfn._xlws.FILTER(Lokale!$C$3:$C$91,Lokale!$B$3:$B$91=$A1032)),""))</f>
        <v/>
      </c>
      <c r="AJ1032" s="13" t="str" cm="1">
        <f t="array" ref="AJ1032">IF($C1032="","",IFERROR(TRANSPOSE(_xlfn._xlws.FILTER(Listy!$D$2:$D$60,Listy!$C$2:$C$60=$C1032)),""))</f>
        <v/>
      </c>
    </row>
    <row r="1033" spans="7:36" ht="25" customHeight="1" x14ac:dyDescent="0.35">
      <c r="G1033" s="15" t="str">
        <f t="shared" si="68"/>
        <v/>
      </c>
      <c r="H1033" s="12" t="str">
        <f t="shared" ca="1" si="69"/>
        <v/>
      </c>
      <c r="I1033" s="14"/>
      <c r="J1033" s="1" t="str">
        <f>IF(COUNTA(A1033:F3320)=0,"",IF(#REF!="","BRAK PROTOKOŁU","DODANY"))</f>
        <v/>
      </c>
      <c r="K1033" s="1"/>
      <c r="M1033" s="13" t="str" cm="1">
        <f t="array" ref="M1033">IF($A1033="","",IFERROR(TRANSPOSE(_xlfn._xlws.FILTER(Lokale!$C$3:$C$91,Lokale!$B$3:$B$91=$A1033)),""))</f>
        <v/>
      </c>
      <c r="AJ1033" s="13" t="str" cm="1">
        <f t="array" ref="AJ1033">IF($C1033="","",IFERROR(TRANSPOSE(_xlfn._xlws.FILTER(Listy!$D$2:$D$60,Listy!$C$2:$C$60=$C1033)),""))</f>
        <v/>
      </c>
    </row>
    <row r="1034" spans="7:36" ht="25" customHeight="1" x14ac:dyDescent="0.35">
      <c r="G1034" s="15" t="str">
        <f t="shared" si="68"/>
        <v/>
      </c>
      <c r="H1034" s="12" t="str">
        <f t="shared" ca="1" si="69"/>
        <v/>
      </c>
      <c r="I1034" s="14"/>
      <c r="J1034" s="1" t="str">
        <f>IF(COUNTA(A1034:F3321)=0,"",IF(#REF!="","BRAK PROTOKOŁU","DODANY"))</f>
        <v/>
      </c>
      <c r="K1034" s="1"/>
      <c r="M1034" s="13" t="str" cm="1">
        <f t="array" ref="M1034">IF($A1034="","",IFERROR(TRANSPOSE(_xlfn._xlws.FILTER(Lokale!$C$3:$C$91,Lokale!$B$3:$B$91=$A1034)),""))</f>
        <v/>
      </c>
      <c r="AJ1034" s="13" t="str" cm="1">
        <f t="array" ref="AJ1034">IF($C1034="","",IFERROR(TRANSPOSE(_xlfn._xlws.FILTER(Listy!$D$2:$D$60,Listy!$C$2:$C$60=$C1034)),""))</f>
        <v/>
      </c>
    </row>
    <row r="1035" spans="7:36" ht="25" customHeight="1" x14ac:dyDescent="0.35">
      <c r="G1035" s="15" t="str">
        <f t="shared" si="68"/>
        <v/>
      </c>
      <c r="H1035" s="12" t="str">
        <f t="shared" ca="1" si="69"/>
        <v/>
      </c>
      <c r="I1035" s="14"/>
      <c r="J1035" s="1" t="str">
        <f>IF(COUNTA(A1035:F3322)=0,"",IF(#REF!="","BRAK PROTOKOŁU","DODANY"))</f>
        <v/>
      </c>
      <c r="K1035" s="1"/>
      <c r="M1035" s="13" t="str" cm="1">
        <f t="array" ref="M1035">IF($A1035="","",IFERROR(TRANSPOSE(_xlfn._xlws.FILTER(Lokale!$C$3:$C$91,Lokale!$B$3:$B$91=$A1035)),""))</f>
        <v/>
      </c>
      <c r="AJ1035" s="13" t="str" cm="1">
        <f t="array" ref="AJ1035">IF($C1035="","",IFERROR(TRANSPOSE(_xlfn._xlws.FILTER(Listy!$D$2:$D$60,Listy!$C$2:$C$60=$C1035)),""))</f>
        <v/>
      </c>
    </row>
    <row r="1036" spans="7:36" ht="25" customHeight="1" x14ac:dyDescent="0.35">
      <c r="G1036" s="15" t="str">
        <f t="shared" si="68"/>
        <v/>
      </c>
      <c r="H1036" s="12" t="str">
        <f t="shared" ca="1" si="69"/>
        <v/>
      </c>
      <c r="I1036" s="14"/>
      <c r="J1036" s="1" t="str">
        <f>IF(COUNTA(A1036:F3323)=0,"",IF(#REF!="","BRAK PROTOKOŁU","DODANY"))</f>
        <v/>
      </c>
      <c r="K1036" s="1"/>
      <c r="M1036" s="13" t="str" cm="1">
        <f t="array" ref="M1036">IF($A1036="","",IFERROR(TRANSPOSE(_xlfn._xlws.FILTER(Lokale!$C$3:$C$91,Lokale!$B$3:$B$91=$A1036)),""))</f>
        <v/>
      </c>
      <c r="AJ1036" s="13" t="str" cm="1">
        <f t="array" ref="AJ1036">IF($C1036="","",IFERROR(TRANSPOSE(_xlfn._xlws.FILTER(Listy!$D$2:$D$60,Listy!$C$2:$C$60=$C1036)),""))</f>
        <v/>
      </c>
    </row>
    <row r="1037" spans="7:36" ht="25" customHeight="1" x14ac:dyDescent="0.35">
      <c r="G1037" s="15" t="str">
        <f t="shared" si="68"/>
        <v/>
      </c>
      <c r="H1037" s="12" t="str">
        <f t="shared" ca="1" si="69"/>
        <v/>
      </c>
      <c r="I1037" s="14"/>
      <c r="J1037" s="1" t="str">
        <f>IF(COUNTA(A1037:F3324)=0,"",IF(#REF!="","BRAK PROTOKOŁU","DODANY"))</f>
        <v/>
      </c>
      <c r="K1037" s="1"/>
      <c r="M1037" s="13" t="str" cm="1">
        <f t="array" ref="M1037">IF($A1037="","",IFERROR(TRANSPOSE(_xlfn._xlws.FILTER(Lokale!$C$3:$C$91,Lokale!$B$3:$B$91=$A1037)),""))</f>
        <v/>
      </c>
      <c r="AJ1037" s="13" t="str" cm="1">
        <f t="array" ref="AJ1037">IF($C1037="","",IFERROR(TRANSPOSE(_xlfn._xlws.FILTER(Listy!$D$2:$D$60,Listy!$C$2:$C$60=$C1037)),""))</f>
        <v/>
      </c>
    </row>
    <row r="1038" spans="7:36" ht="25" customHeight="1" x14ac:dyDescent="0.35">
      <c r="G1038" s="15" t="str">
        <f t="shared" si="68"/>
        <v/>
      </c>
      <c r="H1038" s="12" t="str">
        <f t="shared" ca="1" si="69"/>
        <v/>
      </c>
      <c r="I1038" s="14"/>
      <c r="J1038" s="1" t="str">
        <f>IF(COUNTA(A1038:F3325)=0,"",IF(#REF!="","BRAK PROTOKOŁU","DODANY"))</f>
        <v/>
      </c>
      <c r="K1038" s="1"/>
      <c r="M1038" s="13" t="str" cm="1">
        <f t="array" ref="M1038">IF($A1038="","",IFERROR(TRANSPOSE(_xlfn._xlws.FILTER(Lokale!$C$3:$C$91,Lokale!$B$3:$B$91=$A1038)),""))</f>
        <v/>
      </c>
      <c r="AJ1038" s="13" t="str" cm="1">
        <f t="array" ref="AJ1038">IF($C1038="","",IFERROR(TRANSPOSE(_xlfn._xlws.FILTER(Listy!$D$2:$D$60,Listy!$C$2:$C$60=$C1038)),""))</f>
        <v/>
      </c>
    </row>
    <row r="1039" spans="7:36" ht="25" customHeight="1" x14ac:dyDescent="0.35">
      <c r="G1039" s="15" t="str">
        <f t="shared" si="68"/>
        <v/>
      </c>
      <c r="H1039" s="12" t="str">
        <f t="shared" ca="1" si="69"/>
        <v/>
      </c>
      <c r="I1039" s="14"/>
      <c r="J1039" s="1" t="str">
        <f>IF(COUNTA(A1039:F3326)=0,"",IF(#REF!="","BRAK PROTOKOŁU","DODANY"))</f>
        <v/>
      </c>
      <c r="K1039" s="1"/>
      <c r="M1039" s="13" t="str" cm="1">
        <f t="array" ref="M1039">IF($A1039="","",IFERROR(TRANSPOSE(_xlfn._xlws.FILTER(Lokale!$C$3:$C$91,Lokale!$B$3:$B$91=$A1039)),""))</f>
        <v/>
      </c>
      <c r="AJ1039" s="13" t="str" cm="1">
        <f t="array" ref="AJ1039">IF($C1039="","",IFERROR(TRANSPOSE(_xlfn._xlws.FILTER(Listy!$D$2:$D$60,Listy!$C$2:$C$60=$C1039)),""))</f>
        <v/>
      </c>
    </row>
    <row r="1040" spans="7:36" ht="25" customHeight="1" x14ac:dyDescent="0.35">
      <c r="G1040" s="15" t="str">
        <f t="shared" si="68"/>
        <v/>
      </c>
      <c r="H1040" s="12" t="str">
        <f t="shared" ca="1" si="69"/>
        <v/>
      </c>
      <c r="I1040" s="14"/>
      <c r="J1040" s="1" t="str">
        <f>IF(COUNTA(A1040:F3327)=0,"",IF(#REF!="","BRAK PROTOKOŁU","DODANY"))</f>
        <v/>
      </c>
      <c r="K1040" s="1"/>
      <c r="M1040" s="13" t="str" cm="1">
        <f t="array" ref="M1040">IF($A1040="","",IFERROR(TRANSPOSE(_xlfn._xlws.FILTER(Lokale!$C$3:$C$91,Lokale!$B$3:$B$91=$A1040)),""))</f>
        <v/>
      </c>
      <c r="AJ1040" s="13" t="str" cm="1">
        <f t="array" ref="AJ1040">IF($C1040="","",IFERROR(TRANSPOSE(_xlfn._xlws.FILTER(Listy!$D$2:$D$60,Listy!$C$2:$C$60=$C1040)),""))</f>
        <v/>
      </c>
    </row>
    <row r="1041" spans="7:36" ht="25" customHeight="1" x14ac:dyDescent="0.35">
      <c r="G1041" s="15" t="str">
        <f t="shared" si="68"/>
        <v/>
      </c>
      <c r="H1041" s="12" t="str">
        <f t="shared" ca="1" si="69"/>
        <v/>
      </c>
      <c r="I1041" s="14"/>
      <c r="J1041" s="1" t="str">
        <f>IF(COUNTA(A1041:F3328)=0,"",IF(#REF!="","BRAK PROTOKOŁU","DODANY"))</f>
        <v/>
      </c>
      <c r="K1041" s="1"/>
      <c r="M1041" s="13" t="str" cm="1">
        <f t="array" ref="M1041">IF($A1041="","",IFERROR(TRANSPOSE(_xlfn._xlws.FILTER(Lokale!$C$3:$C$91,Lokale!$B$3:$B$91=$A1041)),""))</f>
        <v/>
      </c>
      <c r="AJ1041" s="13" t="str" cm="1">
        <f t="array" ref="AJ1041">IF($C1041="","",IFERROR(TRANSPOSE(_xlfn._xlws.FILTER(Listy!$D$2:$D$60,Listy!$C$2:$C$60=$C1041)),""))</f>
        <v/>
      </c>
    </row>
    <row r="1042" spans="7:36" ht="25" customHeight="1" x14ac:dyDescent="0.35">
      <c r="G1042" s="15" t="str">
        <f t="shared" si="68"/>
        <v/>
      </c>
      <c r="H1042" s="12" t="str">
        <f t="shared" ca="1" si="69"/>
        <v/>
      </c>
      <c r="I1042" s="14"/>
      <c r="J1042" s="1" t="str">
        <f>IF(COUNTA(A1042:F3329)=0,"",IF(#REF!="","BRAK PROTOKOŁU","DODANY"))</f>
        <v/>
      </c>
      <c r="K1042" s="1"/>
      <c r="M1042" s="13" t="str" cm="1">
        <f t="array" ref="M1042">IF($A1042="","",IFERROR(TRANSPOSE(_xlfn._xlws.FILTER(Lokale!$C$3:$C$91,Lokale!$B$3:$B$91=$A1042)),""))</f>
        <v/>
      </c>
      <c r="AJ1042" s="13" t="str" cm="1">
        <f t="array" ref="AJ1042">IF($C1042="","",IFERROR(TRANSPOSE(_xlfn._xlws.FILTER(Listy!$D$2:$D$60,Listy!$C$2:$C$60=$C1042)),""))</f>
        <v/>
      </c>
    </row>
    <row r="1043" spans="7:36" ht="25" customHeight="1" x14ac:dyDescent="0.35">
      <c r="G1043" s="15" t="str">
        <f t="shared" si="68"/>
        <v/>
      </c>
      <c r="H1043" s="12" t="str">
        <f t="shared" ca="1" si="69"/>
        <v/>
      </c>
      <c r="I1043" s="14"/>
      <c r="J1043" s="1" t="str">
        <f>IF(COUNTA(A1043:F3330)=0,"",IF(#REF!="","BRAK PROTOKOŁU","DODANY"))</f>
        <v/>
      </c>
      <c r="K1043" s="1"/>
      <c r="M1043" s="13" t="str" cm="1">
        <f t="array" ref="M1043">IF($A1043="","",IFERROR(TRANSPOSE(_xlfn._xlws.FILTER(Lokale!$C$3:$C$91,Lokale!$B$3:$B$91=$A1043)),""))</f>
        <v/>
      </c>
      <c r="AJ1043" s="13" t="str" cm="1">
        <f t="array" ref="AJ1043">IF($C1043="","",IFERROR(TRANSPOSE(_xlfn._xlws.FILTER(Listy!$D$2:$D$60,Listy!$C$2:$C$60=$C1043)),""))</f>
        <v/>
      </c>
    </row>
    <row r="1044" spans="7:36" ht="25" customHeight="1" x14ac:dyDescent="0.35">
      <c r="G1044" s="15" t="str">
        <f t="shared" si="68"/>
        <v/>
      </c>
      <c r="H1044" s="12" t="str">
        <f t="shared" ca="1" si="69"/>
        <v/>
      </c>
      <c r="I1044" s="14"/>
      <c r="J1044" s="1" t="str">
        <f>IF(COUNTA(A1044:F3331)=0,"",IF(#REF!="","BRAK PROTOKOŁU","DODANY"))</f>
        <v/>
      </c>
      <c r="K1044" s="1"/>
      <c r="M1044" s="13" t="str" cm="1">
        <f t="array" ref="M1044">IF($A1044="","",IFERROR(TRANSPOSE(_xlfn._xlws.FILTER(Lokale!$C$3:$C$91,Lokale!$B$3:$B$91=$A1044)),""))</f>
        <v/>
      </c>
      <c r="AJ1044" s="13" t="str" cm="1">
        <f t="array" ref="AJ1044">IF($C1044="","",IFERROR(TRANSPOSE(_xlfn._xlws.FILTER(Listy!$D$2:$D$60,Listy!$C$2:$C$60=$C1044)),""))</f>
        <v/>
      </c>
    </row>
    <row r="1045" spans="7:36" ht="25" customHeight="1" x14ac:dyDescent="0.35">
      <c r="G1045" s="15" t="str">
        <f t="shared" si="68"/>
        <v/>
      </c>
      <c r="H1045" s="12" t="str">
        <f t="shared" ca="1" si="69"/>
        <v/>
      </c>
      <c r="I1045" s="14"/>
      <c r="J1045" s="1" t="str">
        <f>IF(COUNTA(A1045:F3332)=0,"",IF(#REF!="","BRAK PROTOKOŁU","DODANY"))</f>
        <v/>
      </c>
      <c r="K1045" s="1"/>
      <c r="M1045" s="13" t="str" cm="1">
        <f t="array" ref="M1045">IF($A1045="","",IFERROR(TRANSPOSE(_xlfn._xlws.FILTER(Lokale!$C$3:$C$91,Lokale!$B$3:$B$91=$A1045)),""))</f>
        <v/>
      </c>
      <c r="AJ1045" s="13" t="str" cm="1">
        <f t="array" ref="AJ1045">IF($C1045="","",IFERROR(TRANSPOSE(_xlfn._xlws.FILTER(Listy!$D$2:$D$60,Listy!$C$2:$C$60=$C1045)),""))</f>
        <v/>
      </c>
    </row>
    <row r="1046" spans="7:36" ht="25" customHeight="1" x14ac:dyDescent="0.35">
      <c r="G1046" s="15" t="str">
        <f t="shared" si="68"/>
        <v/>
      </c>
      <c r="H1046" s="12" t="str">
        <f t="shared" ca="1" si="69"/>
        <v/>
      </c>
      <c r="I1046" s="14"/>
      <c r="J1046" s="1" t="str">
        <f>IF(COUNTA(A1046:F3333)=0,"",IF(#REF!="","BRAK PROTOKOŁU","DODANY"))</f>
        <v/>
      </c>
      <c r="K1046" s="1"/>
      <c r="M1046" s="13" t="str" cm="1">
        <f t="array" ref="M1046">IF($A1046="","",IFERROR(TRANSPOSE(_xlfn._xlws.FILTER(Lokale!$C$3:$C$91,Lokale!$B$3:$B$91=$A1046)),""))</f>
        <v/>
      </c>
      <c r="AJ1046" s="13" t="str" cm="1">
        <f t="array" ref="AJ1046">IF($C1046="","",IFERROR(TRANSPOSE(_xlfn._xlws.FILTER(Listy!$D$2:$D$60,Listy!$C$2:$C$60=$C1046)),""))</f>
        <v/>
      </c>
    </row>
    <row r="1047" spans="7:36" ht="25" customHeight="1" x14ac:dyDescent="0.35">
      <c r="G1047" s="15" t="str">
        <f t="shared" si="68"/>
        <v/>
      </c>
      <c r="H1047" s="12" t="str">
        <f t="shared" ca="1" si="69"/>
        <v/>
      </c>
      <c r="I1047" s="14"/>
      <c r="J1047" s="1" t="str">
        <f>IF(COUNTA(A1047:F3334)=0,"",IF(#REF!="","BRAK PROTOKOŁU","DODANY"))</f>
        <v/>
      </c>
      <c r="K1047" s="1"/>
      <c r="M1047" s="13" t="str" cm="1">
        <f t="array" ref="M1047">IF($A1047="","",IFERROR(TRANSPOSE(_xlfn._xlws.FILTER(Lokale!$C$3:$C$91,Lokale!$B$3:$B$91=$A1047)),""))</f>
        <v/>
      </c>
      <c r="AJ1047" s="13" t="str" cm="1">
        <f t="array" ref="AJ1047">IF($C1047="","",IFERROR(TRANSPOSE(_xlfn._xlws.FILTER(Listy!$D$2:$D$60,Listy!$C$2:$C$60=$C1047)),""))</f>
        <v/>
      </c>
    </row>
    <row r="1048" spans="7:36" ht="25" customHeight="1" x14ac:dyDescent="0.35">
      <c r="G1048" s="15" t="str">
        <f t="shared" si="68"/>
        <v/>
      </c>
      <c r="H1048" s="12" t="str">
        <f t="shared" ca="1" si="69"/>
        <v/>
      </c>
      <c r="I1048" s="14"/>
      <c r="J1048" s="1" t="str">
        <f>IF(COUNTA(A1048:F3335)=0,"",IF(#REF!="","BRAK PROTOKOŁU","DODANY"))</f>
        <v/>
      </c>
      <c r="K1048" s="1"/>
      <c r="M1048" s="13" t="str" cm="1">
        <f t="array" ref="M1048">IF($A1048="","",IFERROR(TRANSPOSE(_xlfn._xlws.FILTER(Lokale!$C$3:$C$91,Lokale!$B$3:$B$91=$A1048)),""))</f>
        <v/>
      </c>
      <c r="AJ1048" s="13" t="str" cm="1">
        <f t="array" ref="AJ1048">IF($C1048="","",IFERROR(TRANSPOSE(_xlfn._xlws.FILTER(Listy!$D$2:$D$60,Listy!$C$2:$C$60=$C1048)),""))</f>
        <v/>
      </c>
    </row>
    <row r="1049" spans="7:36" ht="25" customHeight="1" x14ac:dyDescent="0.35">
      <c r="G1049" s="15" t="str">
        <f t="shared" si="68"/>
        <v/>
      </c>
      <c r="H1049" s="12" t="str">
        <f t="shared" ca="1" si="69"/>
        <v/>
      </c>
      <c r="I1049" s="14"/>
      <c r="J1049" s="1" t="str">
        <f>IF(COUNTA(A1049:F3336)=0,"",IF(#REF!="","BRAK PROTOKOŁU","DODANY"))</f>
        <v/>
      </c>
      <c r="K1049" s="1"/>
      <c r="M1049" s="13" t="str" cm="1">
        <f t="array" ref="M1049">IF($A1049="","",IFERROR(TRANSPOSE(_xlfn._xlws.FILTER(Lokale!$C$3:$C$91,Lokale!$B$3:$B$91=$A1049)),""))</f>
        <v/>
      </c>
      <c r="AJ1049" s="13" t="str" cm="1">
        <f t="array" ref="AJ1049">IF($C1049="","",IFERROR(TRANSPOSE(_xlfn._xlws.FILTER(Listy!$D$2:$D$60,Listy!$C$2:$C$60=$C1049)),""))</f>
        <v/>
      </c>
    </row>
    <row r="1050" spans="7:36" ht="25" customHeight="1" x14ac:dyDescent="0.35">
      <c r="G1050" s="15" t="str">
        <f t="shared" si="68"/>
        <v/>
      </c>
      <c r="H1050" s="12" t="str">
        <f t="shared" ca="1" si="69"/>
        <v/>
      </c>
      <c r="I1050" s="14"/>
      <c r="J1050" s="1" t="str">
        <f>IF(COUNTA(A1050:F3337)=0,"",IF(#REF!="","BRAK PROTOKOŁU","DODANY"))</f>
        <v/>
      </c>
      <c r="K1050" s="1"/>
      <c r="M1050" s="13" t="str" cm="1">
        <f t="array" ref="M1050">IF($A1050="","",IFERROR(TRANSPOSE(_xlfn._xlws.FILTER(Lokale!$C$3:$C$91,Lokale!$B$3:$B$91=$A1050)),""))</f>
        <v/>
      </c>
      <c r="AJ1050" s="13" t="str" cm="1">
        <f t="array" ref="AJ1050">IF($C1050="","",IFERROR(TRANSPOSE(_xlfn._xlws.FILTER(Listy!$D$2:$D$60,Listy!$C$2:$C$60=$C1050)),""))</f>
        <v/>
      </c>
    </row>
    <row r="1051" spans="7:36" ht="25" customHeight="1" x14ac:dyDescent="0.35">
      <c r="G1051" s="15" t="str">
        <f t="shared" si="68"/>
        <v/>
      </c>
      <c r="H1051" s="12" t="str">
        <f t="shared" ca="1" si="69"/>
        <v/>
      </c>
      <c r="I1051" s="14"/>
      <c r="J1051" s="1" t="str">
        <f>IF(COUNTA(A1051:F3338)=0,"",IF(#REF!="","BRAK PROTOKOŁU","DODANY"))</f>
        <v/>
      </c>
      <c r="K1051" s="1"/>
      <c r="M1051" s="13" t="str" cm="1">
        <f t="array" ref="M1051">IF($A1051="","",IFERROR(TRANSPOSE(_xlfn._xlws.FILTER(Lokale!$C$3:$C$91,Lokale!$B$3:$B$91=$A1051)),""))</f>
        <v/>
      </c>
      <c r="AJ1051" s="13" t="str" cm="1">
        <f t="array" ref="AJ1051">IF($C1051="","",IFERROR(TRANSPOSE(_xlfn._xlws.FILTER(Listy!$D$2:$D$60,Listy!$C$2:$C$60=$C1051)),""))</f>
        <v/>
      </c>
    </row>
    <row r="1052" spans="7:36" ht="25" customHeight="1" x14ac:dyDescent="0.35">
      <c r="G1052" s="15" t="str">
        <f t="shared" si="68"/>
        <v/>
      </c>
      <c r="H1052" s="12" t="str">
        <f t="shared" ca="1" si="69"/>
        <v/>
      </c>
      <c r="I1052" s="14"/>
      <c r="J1052" s="1" t="str">
        <f>IF(COUNTA(A1052:F3339)=0,"",IF(#REF!="","BRAK PROTOKOŁU","DODANY"))</f>
        <v/>
      </c>
      <c r="K1052" s="1"/>
      <c r="M1052" s="13" t="str" cm="1">
        <f t="array" ref="M1052">IF($A1052="","",IFERROR(TRANSPOSE(_xlfn._xlws.FILTER(Lokale!$C$3:$C$91,Lokale!$B$3:$B$91=$A1052)),""))</f>
        <v/>
      </c>
      <c r="AJ1052" s="13" t="str" cm="1">
        <f t="array" ref="AJ1052">IF($C1052="","",IFERROR(TRANSPOSE(_xlfn._xlws.FILTER(Listy!$D$2:$D$60,Listy!$C$2:$C$60=$C1052)),""))</f>
        <v/>
      </c>
    </row>
    <row r="1053" spans="7:36" ht="25" customHeight="1" x14ac:dyDescent="0.35">
      <c r="G1053" s="15" t="str">
        <f t="shared" si="68"/>
        <v/>
      </c>
      <c r="H1053" s="12" t="str">
        <f t="shared" ca="1" si="69"/>
        <v/>
      </c>
      <c r="I1053" s="14"/>
      <c r="J1053" s="1" t="str">
        <f>IF(COUNTA(A1053:F3340)=0,"",IF(#REF!="","BRAK PROTOKOŁU","DODANY"))</f>
        <v/>
      </c>
      <c r="K1053" s="1"/>
      <c r="M1053" s="13" t="str" cm="1">
        <f t="array" ref="M1053">IF($A1053="","",IFERROR(TRANSPOSE(_xlfn._xlws.FILTER(Lokale!$C$3:$C$91,Lokale!$B$3:$B$91=$A1053)),""))</f>
        <v/>
      </c>
      <c r="AJ1053" s="13" t="str" cm="1">
        <f t="array" ref="AJ1053">IF($C1053="","",IFERROR(TRANSPOSE(_xlfn._xlws.FILTER(Listy!$D$2:$D$60,Listy!$C$2:$C$60=$C1053)),""))</f>
        <v/>
      </c>
    </row>
    <row r="1054" spans="7:36" ht="25" customHeight="1" x14ac:dyDescent="0.35">
      <c r="G1054" s="15" t="str">
        <f t="shared" si="68"/>
        <v/>
      </c>
      <c r="H1054" s="12" t="str">
        <f t="shared" ca="1" si="69"/>
        <v/>
      </c>
      <c r="I1054" s="14"/>
      <c r="J1054" s="1" t="str">
        <f>IF(COUNTA(A1054:F3341)=0,"",IF(#REF!="","BRAK PROTOKOŁU","DODANY"))</f>
        <v/>
      </c>
      <c r="K1054" s="1"/>
      <c r="M1054" s="13" t="str" cm="1">
        <f t="array" ref="M1054">IF($A1054="","",IFERROR(TRANSPOSE(_xlfn._xlws.FILTER(Lokale!$C$3:$C$91,Lokale!$B$3:$B$91=$A1054)),""))</f>
        <v/>
      </c>
      <c r="AJ1054" s="13" t="str" cm="1">
        <f t="array" ref="AJ1054">IF($C1054="","",IFERROR(TRANSPOSE(_xlfn._xlws.FILTER(Listy!$D$2:$D$60,Listy!$C$2:$C$60=$C1054)),""))</f>
        <v/>
      </c>
    </row>
    <row r="1055" spans="7:36" ht="25" customHeight="1" x14ac:dyDescent="0.35">
      <c r="G1055" s="15" t="str">
        <f t="shared" si="68"/>
        <v/>
      </c>
      <c r="H1055" s="12" t="str">
        <f t="shared" ca="1" si="69"/>
        <v/>
      </c>
      <c r="I1055" s="14"/>
      <c r="J1055" s="1" t="str">
        <f>IF(COUNTA(A1055:F3342)=0,"",IF(#REF!="","BRAK PROTOKOŁU","DODANY"))</f>
        <v/>
      </c>
      <c r="K1055" s="1"/>
      <c r="M1055" s="13" t="str" cm="1">
        <f t="array" ref="M1055">IF($A1055="","",IFERROR(TRANSPOSE(_xlfn._xlws.FILTER(Lokale!$C$3:$C$91,Lokale!$B$3:$B$91=$A1055)),""))</f>
        <v/>
      </c>
      <c r="AJ1055" s="13" t="str" cm="1">
        <f t="array" ref="AJ1055">IF($C1055="","",IFERROR(TRANSPOSE(_xlfn._xlws.FILTER(Listy!$D$2:$D$60,Listy!$C$2:$C$60=$C1055)),""))</f>
        <v/>
      </c>
    </row>
    <row r="1056" spans="7:36" ht="25" customHeight="1" x14ac:dyDescent="0.35">
      <c r="G1056" s="15" t="str">
        <f t="shared" si="68"/>
        <v/>
      </c>
      <c r="H1056" s="12" t="str">
        <f t="shared" ca="1" si="69"/>
        <v/>
      </c>
      <c r="I1056" s="14"/>
      <c r="J1056" s="1" t="str">
        <f>IF(COUNTA(A1056:F3343)=0,"",IF(#REF!="","BRAK PROTOKOŁU","DODANY"))</f>
        <v/>
      </c>
      <c r="K1056" s="1"/>
      <c r="M1056" s="13" t="str" cm="1">
        <f t="array" ref="M1056">IF($A1056="","",IFERROR(TRANSPOSE(_xlfn._xlws.FILTER(Lokale!$C$3:$C$91,Lokale!$B$3:$B$91=$A1056)),""))</f>
        <v/>
      </c>
      <c r="AJ1056" s="13" t="str" cm="1">
        <f t="array" ref="AJ1056">IF($C1056="","",IFERROR(TRANSPOSE(_xlfn._xlws.FILTER(Listy!$D$2:$D$60,Listy!$C$2:$C$60=$C1056)),""))</f>
        <v/>
      </c>
    </row>
    <row r="1057" spans="7:36" ht="25" customHeight="1" x14ac:dyDescent="0.35">
      <c r="G1057" s="15" t="str">
        <f t="shared" si="68"/>
        <v/>
      </c>
      <c r="H1057" s="12" t="str">
        <f t="shared" ca="1" si="69"/>
        <v/>
      </c>
      <c r="I1057" s="14"/>
      <c r="J1057" s="1" t="str">
        <f>IF(COUNTA(A1057:F3344)=0,"",IF(#REF!="","BRAK PROTOKOŁU","DODANY"))</f>
        <v/>
      </c>
      <c r="K1057" s="1"/>
      <c r="M1057" s="13" t="str" cm="1">
        <f t="array" ref="M1057">IF($A1057="","",IFERROR(TRANSPOSE(_xlfn._xlws.FILTER(Lokale!$C$3:$C$91,Lokale!$B$3:$B$91=$A1057)),""))</f>
        <v/>
      </c>
      <c r="AJ1057" s="13" t="str" cm="1">
        <f t="array" ref="AJ1057">IF($C1057="","",IFERROR(TRANSPOSE(_xlfn._xlws.FILTER(Listy!$D$2:$D$60,Listy!$C$2:$C$60=$C1057)),""))</f>
        <v/>
      </c>
    </row>
    <row r="1058" spans="7:36" ht="25" customHeight="1" x14ac:dyDescent="0.35">
      <c r="G1058" s="15" t="str">
        <f t="shared" ref="G1058:G1121" si="70">IF(OR(E1058="",F1058=""),"",DATE(YEAR(E1058),MONTH(E1058)+F1058,DAY(E1058)))</f>
        <v/>
      </c>
      <c r="H1058" s="12" t="str">
        <f t="shared" ref="H1058:H1121" ca="1" si="71">IF(G1058="","",IF(G1058&lt;TODAY(),"PO TERMINIE",IF(G1058&lt;=TODAY()+14,"DO WYKONANIA","OK")))</f>
        <v/>
      </c>
      <c r="I1058" s="14"/>
      <c r="J1058" s="1" t="str">
        <f>IF(COUNTA(A1058:F3345)=0,"",IF(#REF!="","BRAK PROTOKOŁU","DODANY"))</f>
        <v/>
      </c>
      <c r="K1058" s="1"/>
      <c r="M1058" s="13" t="str" cm="1">
        <f t="array" ref="M1058">IF($A1058="","",IFERROR(TRANSPOSE(_xlfn._xlws.FILTER(Lokale!$C$3:$C$91,Lokale!$B$3:$B$91=$A1058)),""))</f>
        <v/>
      </c>
      <c r="AJ1058" s="13" t="str" cm="1">
        <f t="array" ref="AJ1058">IF($C1058="","",IFERROR(TRANSPOSE(_xlfn._xlws.FILTER(Listy!$D$2:$D$60,Listy!$C$2:$C$60=$C1058)),""))</f>
        <v/>
      </c>
    </row>
    <row r="1059" spans="7:36" ht="25" customHeight="1" x14ac:dyDescent="0.35">
      <c r="G1059" s="15" t="str">
        <f t="shared" si="70"/>
        <v/>
      </c>
      <c r="H1059" s="12" t="str">
        <f t="shared" ca="1" si="71"/>
        <v/>
      </c>
      <c r="I1059" s="14"/>
      <c r="J1059" s="1" t="str">
        <f>IF(COUNTA(A1059:F3346)=0,"",IF(#REF!="","BRAK PROTOKOŁU","DODANY"))</f>
        <v/>
      </c>
      <c r="K1059" s="1"/>
      <c r="M1059" s="13" t="str" cm="1">
        <f t="array" ref="M1059">IF($A1059="","",IFERROR(TRANSPOSE(_xlfn._xlws.FILTER(Lokale!$C$3:$C$91,Lokale!$B$3:$B$91=$A1059)),""))</f>
        <v/>
      </c>
      <c r="AJ1059" s="13" t="str" cm="1">
        <f t="array" ref="AJ1059">IF($C1059="","",IFERROR(TRANSPOSE(_xlfn._xlws.FILTER(Listy!$D$2:$D$60,Listy!$C$2:$C$60=$C1059)),""))</f>
        <v/>
      </c>
    </row>
    <row r="1060" spans="7:36" ht="25" customHeight="1" x14ac:dyDescent="0.35">
      <c r="G1060" s="15" t="str">
        <f t="shared" si="70"/>
        <v/>
      </c>
      <c r="H1060" s="12" t="str">
        <f t="shared" ca="1" si="71"/>
        <v/>
      </c>
      <c r="I1060" s="14"/>
      <c r="J1060" s="1" t="str">
        <f>IF(COUNTA(A1060:F3347)=0,"",IF(#REF!="","BRAK PROTOKOŁU","DODANY"))</f>
        <v/>
      </c>
      <c r="K1060" s="1"/>
      <c r="M1060" s="13" t="str" cm="1">
        <f t="array" ref="M1060">IF($A1060="","",IFERROR(TRANSPOSE(_xlfn._xlws.FILTER(Lokale!$C$3:$C$91,Lokale!$B$3:$B$91=$A1060)),""))</f>
        <v/>
      </c>
      <c r="AJ1060" s="13" t="str" cm="1">
        <f t="array" ref="AJ1060">IF($C1060="","",IFERROR(TRANSPOSE(_xlfn._xlws.FILTER(Listy!$D$2:$D$60,Listy!$C$2:$C$60=$C1060)),""))</f>
        <v/>
      </c>
    </row>
    <row r="1061" spans="7:36" ht="25" customHeight="1" x14ac:dyDescent="0.35">
      <c r="G1061" s="15" t="str">
        <f t="shared" si="70"/>
        <v/>
      </c>
      <c r="H1061" s="12" t="str">
        <f t="shared" ca="1" si="71"/>
        <v/>
      </c>
      <c r="I1061" s="14"/>
      <c r="J1061" s="1" t="str">
        <f>IF(COUNTA(A1061:F3348)=0,"",IF(#REF!="","BRAK PROTOKOŁU","DODANY"))</f>
        <v/>
      </c>
      <c r="K1061" s="1"/>
      <c r="M1061" s="13" t="str" cm="1">
        <f t="array" ref="M1061">IF($A1061="","",IFERROR(TRANSPOSE(_xlfn._xlws.FILTER(Lokale!$C$3:$C$91,Lokale!$B$3:$B$91=$A1061)),""))</f>
        <v/>
      </c>
      <c r="AJ1061" s="13" t="str" cm="1">
        <f t="array" ref="AJ1061">IF($C1061="","",IFERROR(TRANSPOSE(_xlfn._xlws.FILTER(Listy!$D$2:$D$60,Listy!$C$2:$C$60=$C1061)),""))</f>
        <v/>
      </c>
    </row>
    <row r="1062" spans="7:36" ht="25" customHeight="1" x14ac:dyDescent="0.35">
      <c r="G1062" s="15" t="str">
        <f t="shared" si="70"/>
        <v/>
      </c>
      <c r="H1062" s="12" t="str">
        <f t="shared" ca="1" si="71"/>
        <v/>
      </c>
      <c r="I1062" s="14"/>
      <c r="J1062" s="1" t="str">
        <f>IF(COUNTA(A1062:F3349)=0,"",IF(#REF!="","BRAK PROTOKOŁU","DODANY"))</f>
        <v/>
      </c>
      <c r="K1062" s="1"/>
      <c r="M1062" s="13" t="str" cm="1">
        <f t="array" ref="M1062">IF($A1062="","",IFERROR(TRANSPOSE(_xlfn._xlws.FILTER(Lokale!$C$3:$C$91,Lokale!$B$3:$B$91=$A1062)),""))</f>
        <v/>
      </c>
      <c r="AJ1062" s="13" t="str" cm="1">
        <f t="array" ref="AJ1062">IF($C1062="","",IFERROR(TRANSPOSE(_xlfn._xlws.FILTER(Listy!$D$2:$D$60,Listy!$C$2:$C$60=$C1062)),""))</f>
        <v/>
      </c>
    </row>
    <row r="1063" spans="7:36" ht="25" customHeight="1" x14ac:dyDescent="0.35">
      <c r="G1063" s="15" t="str">
        <f t="shared" si="70"/>
        <v/>
      </c>
      <c r="H1063" s="12" t="str">
        <f t="shared" ca="1" si="71"/>
        <v/>
      </c>
      <c r="I1063" s="14"/>
      <c r="J1063" s="1" t="str">
        <f>IF(COUNTA(A1063:F3350)=0,"",IF(#REF!="","BRAK PROTOKOŁU","DODANY"))</f>
        <v/>
      </c>
      <c r="K1063" s="1"/>
      <c r="M1063" s="13" t="str" cm="1">
        <f t="array" ref="M1063">IF($A1063="","",IFERROR(TRANSPOSE(_xlfn._xlws.FILTER(Lokale!$C$3:$C$91,Lokale!$B$3:$B$91=$A1063)),""))</f>
        <v/>
      </c>
      <c r="AJ1063" s="13" t="str" cm="1">
        <f t="array" ref="AJ1063">IF($C1063="","",IFERROR(TRANSPOSE(_xlfn._xlws.FILTER(Listy!$D$2:$D$60,Listy!$C$2:$C$60=$C1063)),""))</f>
        <v/>
      </c>
    </row>
    <row r="1064" spans="7:36" ht="25" customHeight="1" x14ac:dyDescent="0.35">
      <c r="G1064" s="15" t="str">
        <f t="shared" si="70"/>
        <v/>
      </c>
      <c r="H1064" s="12" t="str">
        <f t="shared" ca="1" si="71"/>
        <v/>
      </c>
      <c r="I1064" s="14"/>
      <c r="J1064" s="1" t="str">
        <f>IF(COUNTA(A1064:F3351)=0,"",IF(#REF!="","BRAK PROTOKOŁU","DODANY"))</f>
        <v/>
      </c>
      <c r="K1064" s="1"/>
      <c r="M1064" s="13" t="str" cm="1">
        <f t="array" ref="M1064">IF($A1064="","",IFERROR(TRANSPOSE(_xlfn._xlws.FILTER(Lokale!$C$3:$C$91,Lokale!$B$3:$B$91=$A1064)),""))</f>
        <v/>
      </c>
      <c r="AJ1064" s="13" t="str" cm="1">
        <f t="array" ref="AJ1064">IF($C1064="","",IFERROR(TRANSPOSE(_xlfn._xlws.FILTER(Listy!$D$2:$D$60,Listy!$C$2:$C$60=$C1064)),""))</f>
        <v/>
      </c>
    </row>
    <row r="1065" spans="7:36" ht="25" customHeight="1" x14ac:dyDescent="0.35">
      <c r="G1065" s="15" t="str">
        <f t="shared" si="70"/>
        <v/>
      </c>
      <c r="H1065" s="12" t="str">
        <f t="shared" ca="1" si="71"/>
        <v/>
      </c>
      <c r="I1065" s="14"/>
      <c r="J1065" s="1" t="str">
        <f>IF(COUNTA(A1065:F3352)=0,"",IF(#REF!="","BRAK PROTOKOŁU","DODANY"))</f>
        <v/>
      </c>
      <c r="K1065" s="1"/>
      <c r="M1065" s="13" t="str" cm="1">
        <f t="array" ref="M1065">IF($A1065="","",IFERROR(TRANSPOSE(_xlfn._xlws.FILTER(Lokale!$C$3:$C$91,Lokale!$B$3:$B$91=$A1065)),""))</f>
        <v/>
      </c>
      <c r="AJ1065" s="13" t="str" cm="1">
        <f t="array" ref="AJ1065">IF($C1065="","",IFERROR(TRANSPOSE(_xlfn._xlws.FILTER(Listy!$D$2:$D$60,Listy!$C$2:$C$60=$C1065)),""))</f>
        <v/>
      </c>
    </row>
    <row r="1066" spans="7:36" ht="25" customHeight="1" x14ac:dyDescent="0.35">
      <c r="G1066" s="15" t="str">
        <f t="shared" si="70"/>
        <v/>
      </c>
      <c r="H1066" s="12" t="str">
        <f t="shared" ca="1" si="71"/>
        <v/>
      </c>
      <c r="I1066" s="14"/>
      <c r="J1066" s="1" t="str">
        <f>IF(COUNTA(A1066:F3353)=0,"",IF(#REF!="","BRAK PROTOKOŁU","DODANY"))</f>
        <v/>
      </c>
      <c r="K1066" s="1"/>
      <c r="M1066" s="13" t="str" cm="1">
        <f t="array" ref="M1066">IF($A1066="","",IFERROR(TRANSPOSE(_xlfn._xlws.FILTER(Lokale!$C$3:$C$91,Lokale!$B$3:$B$91=$A1066)),""))</f>
        <v/>
      </c>
      <c r="AJ1066" s="13" t="str" cm="1">
        <f t="array" ref="AJ1066">IF($C1066="","",IFERROR(TRANSPOSE(_xlfn._xlws.FILTER(Listy!$D$2:$D$60,Listy!$C$2:$C$60=$C1066)),""))</f>
        <v/>
      </c>
    </row>
    <row r="1067" spans="7:36" ht="25" customHeight="1" x14ac:dyDescent="0.35">
      <c r="G1067" s="15" t="str">
        <f t="shared" si="70"/>
        <v/>
      </c>
      <c r="H1067" s="12" t="str">
        <f t="shared" ca="1" si="71"/>
        <v/>
      </c>
      <c r="I1067" s="14"/>
      <c r="J1067" s="1" t="str">
        <f>IF(COUNTA(A1067:F3354)=0,"",IF(#REF!="","BRAK PROTOKOŁU","DODANY"))</f>
        <v/>
      </c>
      <c r="K1067" s="1"/>
      <c r="M1067" s="13" t="str" cm="1">
        <f t="array" ref="M1067">IF($A1067="","",IFERROR(TRANSPOSE(_xlfn._xlws.FILTER(Lokale!$C$3:$C$91,Lokale!$B$3:$B$91=$A1067)),""))</f>
        <v/>
      </c>
      <c r="AJ1067" s="13" t="str" cm="1">
        <f t="array" ref="AJ1067">IF($C1067="","",IFERROR(TRANSPOSE(_xlfn._xlws.FILTER(Listy!$D$2:$D$60,Listy!$C$2:$C$60=$C1067)),""))</f>
        <v/>
      </c>
    </row>
    <row r="1068" spans="7:36" ht="25" customHeight="1" x14ac:dyDescent="0.35">
      <c r="G1068" s="15" t="str">
        <f t="shared" si="70"/>
        <v/>
      </c>
      <c r="H1068" s="12" t="str">
        <f t="shared" ca="1" si="71"/>
        <v/>
      </c>
      <c r="I1068" s="14"/>
      <c r="J1068" s="1" t="str">
        <f>IF(COUNTA(A1068:F3355)=0,"",IF(#REF!="","BRAK PROTOKOŁU","DODANY"))</f>
        <v/>
      </c>
      <c r="K1068" s="1"/>
      <c r="M1068" s="13" t="str" cm="1">
        <f t="array" ref="M1068">IF($A1068="","",IFERROR(TRANSPOSE(_xlfn._xlws.FILTER(Lokale!$C$3:$C$91,Lokale!$B$3:$B$91=$A1068)),""))</f>
        <v/>
      </c>
      <c r="AJ1068" s="13" t="str" cm="1">
        <f t="array" ref="AJ1068">IF($C1068="","",IFERROR(TRANSPOSE(_xlfn._xlws.FILTER(Listy!$D$2:$D$60,Listy!$C$2:$C$60=$C1068)),""))</f>
        <v/>
      </c>
    </row>
    <row r="1069" spans="7:36" ht="25" customHeight="1" x14ac:dyDescent="0.35">
      <c r="G1069" s="15" t="str">
        <f t="shared" si="70"/>
        <v/>
      </c>
      <c r="H1069" s="12" t="str">
        <f t="shared" ca="1" si="71"/>
        <v/>
      </c>
      <c r="I1069" s="14"/>
      <c r="J1069" s="1" t="str">
        <f>IF(COUNTA(A1069:F3356)=0,"",IF(#REF!="","BRAK PROTOKOŁU","DODANY"))</f>
        <v/>
      </c>
      <c r="K1069" s="1"/>
      <c r="M1069" s="13" t="str" cm="1">
        <f t="array" ref="M1069">IF($A1069="","",IFERROR(TRANSPOSE(_xlfn._xlws.FILTER(Lokale!$C$3:$C$91,Lokale!$B$3:$B$91=$A1069)),""))</f>
        <v/>
      </c>
      <c r="AJ1069" s="13" t="str" cm="1">
        <f t="array" ref="AJ1069">IF($C1069="","",IFERROR(TRANSPOSE(_xlfn._xlws.FILTER(Listy!$D$2:$D$60,Listy!$C$2:$C$60=$C1069)),""))</f>
        <v/>
      </c>
    </row>
    <row r="1070" spans="7:36" ht="25" customHeight="1" x14ac:dyDescent="0.35">
      <c r="G1070" s="15" t="str">
        <f t="shared" si="70"/>
        <v/>
      </c>
      <c r="H1070" s="12" t="str">
        <f t="shared" ca="1" si="71"/>
        <v/>
      </c>
      <c r="I1070" s="14"/>
      <c r="J1070" s="1" t="str">
        <f>IF(COUNTA(A1070:F3357)=0,"",IF(#REF!="","BRAK PROTOKOŁU","DODANY"))</f>
        <v/>
      </c>
      <c r="K1070" s="1"/>
      <c r="M1070" s="13" t="str" cm="1">
        <f t="array" ref="M1070">IF($A1070="","",IFERROR(TRANSPOSE(_xlfn._xlws.FILTER(Lokale!$C$3:$C$91,Lokale!$B$3:$B$91=$A1070)),""))</f>
        <v/>
      </c>
      <c r="AJ1070" s="13" t="str" cm="1">
        <f t="array" ref="AJ1070">IF($C1070="","",IFERROR(TRANSPOSE(_xlfn._xlws.FILTER(Listy!$D$2:$D$60,Listy!$C$2:$C$60=$C1070)),""))</f>
        <v/>
      </c>
    </row>
    <row r="1071" spans="7:36" ht="25" customHeight="1" x14ac:dyDescent="0.35">
      <c r="G1071" s="15" t="str">
        <f t="shared" si="70"/>
        <v/>
      </c>
      <c r="H1071" s="12" t="str">
        <f t="shared" ca="1" si="71"/>
        <v/>
      </c>
      <c r="I1071" s="14"/>
      <c r="J1071" s="1" t="str">
        <f>IF(COUNTA(A1071:F3358)=0,"",IF(#REF!="","BRAK PROTOKOŁU","DODANY"))</f>
        <v/>
      </c>
      <c r="K1071" s="1"/>
      <c r="M1071" s="13" t="str" cm="1">
        <f t="array" ref="M1071">IF($A1071="","",IFERROR(TRANSPOSE(_xlfn._xlws.FILTER(Lokale!$C$3:$C$91,Lokale!$B$3:$B$91=$A1071)),""))</f>
        <v/>
      </c>
      <c r="AJ1071" s="13" t="str" cm="1">
        <f t="array" ref="AJ1071">IF($C1071="","",IFERROR(TRANSPOSE(_xlfn._xlws.FILTER(Listy!$D$2:$D$60,Listy!$C$2:$C$60=$C1071)),""))</f>
        <v/>
      </c>
    </row>
    <row r="1072" spans="7:36" ht="25" customHeight="1" x14ac:dyDescent="0.35">
      <c r="G1072" s="15" t="str">
        <f t="shared" si="70"/>
        <v/>
      </c>
      <c r="H1072" s="12" t="str">
        <f t="shared" ca="1" si="71"/>
        <v/>
      </c>
      <c r="I1072" s="14"/>
      <c r="J1072" s="1" t="str">
        <f>IF(COUNTA(A1072:F3359)=0,"",IF(#REF!="","BRAK PROTOKOŁU","DODANY"))</f>
        <v/>
      </c>
      <c r="K1072" s="1"/>
      <c r="M1072" s="13" t="str" cm="1">
        <f t="array" ref="M1072">IF($A1072="","",IFERROR(TRANSPOSE(_xlfn._xlws.FILTER(Lokale!$C$3:$C$91,Lokale!$B$3:$B$91=$A1072)),""))</f>
        <v/>
      </c>
      <c r="AJ1072" s="13" t="str" cm="1">
        <f t="array" ref="AJ1072">IF($C1072="","",IFERROR(TRANSPOSE(_xlfn._xlws.FILTER(Listy!$D$2:$D$60,Listy!$C$2:$C$60=$C1072)),""))</f>
        <v/>
      </c>
    </row>
    <row r="1073" spans="7:36" ht="25" customHeight="1" x14ac:dyDescent="0.35">
      <c r="G1073" s="15" t="str">
        <f t="shared" si="70"/>
        <v/>
      </c>
      <c r="H1073" s="12" t="str">
        <f t="shared" ca="1" si="71"/>
        <v/>
      </c>
      <c r="I1073" s="14"/>
      <c r="J1073" s="1" t="str">
        <f>IF(COUNTA(A1073:F3360)=0,"",IF(#REF!="","BRAK PROTOKOŁU","DODANY"))</f>
        <v/>
      </c>
      <c r="K1073" s="1"/>
      <c r="M1073" s="13" t="str" cm="1">
        <f t="array" ref="M1073">IF($A1073="","",IFERROR(TRANSPOSE(_xlfn._xlws.FILTER(Lokale!$C$3:$C$91,Lokale!$B$3:$B$91=$A1073)),""))</f>
        <v/>
      </c>
      <c r="AJ1073" s="13" t="str" cm="1">
        <f t="array" ref="AJ1073">IF($C1073="","",IFERROR(TRANSPOSE(_xlfn._xlws.FILTER(Listy!$D$2:$D$60,Listy!$C$2:$C$60=$C1073)),""))</f>
        <v/>
      </c>
    </row>
    <row r="1074" spans="7:36" ht="25" customHeight="1" x14ac:dyDescent="0.35">
      <c r="G1074" s="15" t="str">
        <f t="shared" si="70"/>
        <v/>
      </c>
      <c r="H1074" s="12" t="str">
        <f t="shared" ca="1" si="71"/>
        <v/>
      </c>
      <c r="I1074" s="14"/>
      <c r="J1074" s="1" t="str">
        <f>IF(COUNTA(A1074:F3361)=0,"",IF(#REF!="","BRAK PROTOKOŁU","DODANY"))</f>
        <v/>
      </c>
      <c r="K1074" s="1"/>
      <c r="M1074" s="13" t="str" cm="1">
        <f t="array" ref="M1074">IF($A1074="","",IFERROR(TRANSPOSE(_xlfn._xlws.FILTER(Lokale!$C$3:$C$91,Lokale!$B$3:$B$91=$A1074)),""))</f>
        <v/>
      </c>
      <c r="AJ1074" s="13" t="str" cm="1">
        <f t="array" ref="AJ1074">IF($C1074="","",IFERROR(TRANSPOSE(_xlfn._xlws.FILTER(Listy!$D$2:$D$60,Listy!$C$2:$C$60=$C1074)),""))</f>
        <v/>
      </c>
    </row>
    <row r="1075" spans="7:36" ht="25" customHeight="1" x14ac:dyDescent="0.35">
      <c r="G1075" s="15" t="str">
        <f t="shared" si="70"/>
        <v/>
      </c>
      <c r="H1075" s="12" t="str">
        <f t="shared" ca="1" si="71"/>
        <v/>
      </c>
      <c r="I1075" s="14"/>
      <c r="J1075" s="1" t="str">
        <f>IF(COUNTA(A1075:F3362)=0,"",IF(#REF!="","BRAK PROTOKOŁU","DODANY"))</f>
        <v/>
      </c>
      <c r="K1075" s="1"/>
      <c r="M1075" s="13" t="str" cm="1">
        <f t="array" ref="M1075">IF($A1075="","",IFERROR(TRANSPOSE(_xlfn._xlws.FILTER(Lokale!$C$3:$C$91,Lokale!$B$3:$B$91=$A1075)),""))</f>
        <v/>
      </c>
      <c r="AJ1075" s="13" t="str" cm="1">
        <f t="array" ref="AJ1075">IF($C1075="","",IFERROR(TRANSPOSE(_xlfn._xlws.FILTER(Listy!$D$2:$D$60,Listy!$C$2:$C$60=$C1075)),""))</f>
        <v/>
      </c>
    </row>
    <row r="1076" spans="7:36" ht="25" customHeight="1" x14ac:dyDescent="0.35">
      <c r="G1076" s="15" t="str">
        <f t="shared" si="70"/>
        <v/>
      </c>
      <c r="H1076" s="12" t="str">
        <f t="shared" ca="1" si="71"/>
        <v/>
      </c>
      <c r="I1076" s="14"/>
      <c r="J1076" s="1" t="str">
        <f>IF(COUNTA(A1076:F3363)=0,"",IF(#REF!="","BRAK PROTOKOŁU","DODANY"))</f>
        <v/>
      </c>
      <c r="K1076" s="1"/>
      <c r="M1076" s="13" t="str" cm="1">
        <f t="array" ref="M1076">IF($A1076="","",IFERROR(TRANSPOSE(_xlfn._xlws.FILTER(Lokale!$C$3:$C$91,Lokale!$B$3:$B$91=$A1076)),""))</f>
        <v/>
      </c>
      <c r="AJ1076" s="13" t="str" cm="1">
        <f t="array" ref="AJ1076">IF($C1076="","",IFERROR(TRANSPOSE(_xlfn._xlws.FILTER(Listy!$D$2:$D$60,Listy!$C$2:$C$60=$C1076)),""))</f>
        <v/>
      </c>
    </row>
    <row r="1077" spans="7:36" ht="25" customHeight="1" x14ac:dyDescent="0.35">
      <c r="G1077" s="15" t="str">
        <f t="shared" si="70"/>
        <v/>
      </c>
      <c r="H1077" s="12" t="str">
        <f t="shared" ca="1" si="71"/>
        <v/>
      </c>
      <c r="I1077" s="14"/>
      <c r="J1077" s="1" t="str">
        <f>IF(COUNTA(A1077:F3364)=0,"",IF(#REF!="","BRAK PROTOKOŁU","DODANY"))</f>
        <v/>
      </c>
      <c r="K1077" s="1"/>
      <c r="M1077" s="13" t="str" cm="1">
        <f t="array" ref="M1077">IF($A1077="","",IFERROR(TRANSPOSE(_xlfn._xlws.FILTER(Lokale!$C$3:$C$91,Lokale!$B$3:$B$91=$A1077)),""))</f>
        <v/>
      </c>
      <c r="AJ1077" s="13" t="str" cm="1">
        <f t="array" ref="AJ1077">IF($C1077="","",IFERROR(TRANSPOSE(_xlfn._xlws.FILTER(Listy!$D$2:$D$60,Listy!$C$2:$C$60=$C1077)),""))</f>
        <v/>
      </c>
    </row>
    <row r="1078" spans="7:36" ht="25" customHeight="1" x14ac:dyDescent="0.35">
      <c r="G1078" s="15" t="str">
        <f t="shared" si="70"/>
        <v/>
      </c>
      <c r="H1078" s="12" t="str">
        <f t="shared" ca="1" si="71"/>
        <v/>
      </c>
      <c r="I1078" s="14"/>
      <c r="J1078" s="1" t="str">
        <f>IF(COUNTA(A1078:F3365)=0,"",IF(#REF!="","BRAK PROTOKOŁU","DODANY"))</f>
        <v/>
      </c>
      <c r="K1078" s="1"/>
      <c r="M1078" s="13" t="str" cm="1">
        <f t="array" ref="M1078">IF($A1078="","",IFERROR(TRANSPOSE(_xlfn._xlws.FILTER(Lokale!$C$3:$C$91,Lokale!$B$3:$B$91=$A1078)),""))</f>
        <v/>
      </c>
      <c r="AJ1078" s="13" t="str" cm="1">
        <f t="array" ref="AJ1078">IF($C1078="","",IFERROR(TRANSPOSE(_xlfn._xlws.FILTER(Listy!$D$2:$D$60,Listy!$C$2:$C$60=$C1078)),""))</f>
        <v/>
      </c>
    </row>
    <row r="1079" spans="7:36" ht="25" customHeight="1" x14ac:dyDescent="0.35">
      <c r="G1079" s="15" t="str">
        <f t="shared" si="70"/>
        <v/>
      </c>
      <c r="H1079" s="12" t="str">
        <f t="shared" ca="1" si="71"/>
        <v/>
      </c>
      <c r="I1079" s="14"/>
      <c r="J1079" s="1" t="str">
        <f>IF(COUNTA(A1079:F3366)=0,"",IF(#REF!="","BRAK PROTOKOŁU","DODANY"))</f>
        <v/>
      </c>
      <c r="K1079" s="1"/>
      <c r="M1079" s="13" t="str" cm="1">
        <f t="array" ref="M1079">IF($A1079="","",IFERROR(TRANSPOSE(_xlfn._xlws.FILTER(Lokale!$C$3:$C$91,Lokale!$B$3:$B$91=$A1079)),""))</f>
        <v/>
      </c>
      <c r="AJ1079" s="13" t="str" cm="1">
        <f t="array" ref="AJ1079">IF($C1079="","",IFERROR(TRANSPOSE(_xlfn._xlws.FILTER(Listy!$D$2:$D$60,Listy!$C$2:$C$60=$C1079)),""))</f>
        <v/>
      </c>
    </row>
    <row r="1080" spans="7:36" ht="25" customHeight="1" x14ac:dyDescent="0.35">
      <c r="G1080" s="15" t="str">
        <f t="shared" si="70"/>
        <v/>
      </c>
      <c r="H1080" s="12" t="str">
        <f t="shared" ca="1" si="71"/>
        <v/>
      </c>
      <c r="I1080" s="14"/>
      <c r="J1080" s="1" t="str">
        <f>IF(COUNTA(A1080:F3367)=0,"",IF(#REF!="","BRAK PROTOKOŁU","DODANY"))</f>
        <v/>
      </c>
      <c r="K1080" s="1"/>
      <c r="M1080" s="13" t="str" cm="1">
        <f t="array" ref="M1080">IF($A1080="","",IFERROR(TRANSPOSE(_xlfn._xlws.FILTER(Lokale!$C$3:$C$91,Lokale!$B$3:$B$91=$A1080)),""))</f>
        <v/>
      </c>
      <c r="AJ1080" s="13" t="str" cm="1">
        <f t="array" ref="AJ1080">IF($C1080="","",IFERROR(TRANSPOSE(_xlfn._xlws.FILTER(Listy!$D$2:$D$60,Listy!$C$2:$C$60=$C1080)),""))</f>
        <v/>
      </c>
    </row>
    <row r="1081" spans="7:36" ht="25" customHeight="1" x14ac:dyDescent="0.35">
      <c r="G1081" s="15" t="str">
        <f t="shared" si="70"/>
        <v/>
      </c>
      <c r="H1081" s="12" t="str">
        <f t="shared" ca="1" si="71"/>
        <v/>
      </c>
      <c r="I1081" s="14"/>
      <c r="J1081" s="1" t="str">
        <f>IF(COUNTA(A1081:F3368)=0,"",IF(#REF!="","BRAK PROTOKOŁU","DODANY"))</f>
        <v/>
      </c>
      <c r="K1081" s="1"/>
      <c r="M1081" s="13" t="str" cm="1">
        <f t="array" ref="M1081">IF($A1081="","",IFERROR(TRANSPOSE(_xlfn._xlws.FILTER(Lokale!$C$3:$C$91,Lokale!$B$3:$B$91=$A1081)),""))</f>
        <v/>
      </c>
      <c r="AJ1081" s="13" t="str" cm="1">
        <f t="array" ref="AJ1081">IF($C1081="","",IFERROR(TRANSPOSE(_xlfn._xlws.FILTER(Listy!$D$2:$D$60,Listy!$C$2:$C$60=$C1081)),""))</f>
        <v/>
      </c>
    </row>
    <row r="1082" spans="7:36" ht="25" customHeight="1" x14ac:dyDescent="0.35">
      <c r="G1082" s="15" t="str">
        <f t="shared" si="70"/>
        <v/>
      </c>
      <c r="H1082" s="12" t="str">
        <f t="shared" ca="1" si="71"/>
        <v/>
      </c>
      <c r="I1082" s="14"/>
      <c r="J1082" s="1" t="str">
        <f>IF(COUNTA(A1082:F3369)=0,"",IF(#REF!="","BRAK PROTOKOŁU","DODANY"))</f>
        <v/>
      </c>
      <c r="K1082" s="1"/>
      <c r="M1082" s="13" t="str" cm="1">
        <f t="array" ref="M1082">IF($A1082="","",IFERROR(TRANSPOSE(_xlfn._xlws.FILTER(Lokale!$C$3:$C$91,Lokale!$B$3:$B$91=$A1082)),""))</f>
        <v/>
      </c>
      <c r="AJ1082" s="13" t="str" cm="1">
        <f t="array" ref="AJ1082">IF($C1082="","",IFERROR(TRANSPOSE(_xlfn._xlws.FILTER(Listy!$D$2:$D$60,Listy!$C$2:$C$60=$C1082)),""))</f>
        <v/>
      </c>
    </row>
    <row r="1083" spans="7:36" ht="25" customHeight="1" x14ac:dyDescent="0.35">
      <c r="G1083" s="15" t="str">
        <f t="shared" si="70"/>
        <v/>
      </c>
      <c r="H1083" s="12" t="str">
        <f t="shared" ca="1" si="71"/>
        <v/>
      </c>
      <c r="I1083" s="14"/>
      <c r="J1083" s="1" t="str">
        <f>IF(COUNTA(A1083:F3370)=0,"",IF(#REF!="","BRAK PROTOKOŁU","DODANY"))</f>
        <v/>
      </c>
      <c r="K1083" s="1"/>
      <c r="M1083" s="13" t="str" cm="1">
        <f t="array" ref="M1083">IF($A1083="","",IFERROR(TRANSPOSE(_xlfn._xlws.FILTER(Lokale!$C$3:$C$91,Lokale!$B$3:$B$91=$A1083)),""))</f>
        <v/>
      </c>
      <c r="AJ1083" s="13" t="str" cm="1">
        <f t="array" ref="AJ1083">IF($C1083="","",IFERROR(TRANSPOSE(_xlfn._xlws.FILTER(Listy!$D$2:$D$60,Listy!$C$2:$C$60=$C1083)),""))</f>
        <v/>
      </c>
    </row>
    <row r="1084" spans="7:36" ht="25" customHeight="1" x14ac:dyDescent="0.35">
      <c r="G1084" s="15" t="str">
        <f t="shared" si="70"/>
        <v/>
      </c>
      <c r="H1084" s="12" t="str">
        <f t="shared" ca="1" si="71"/>
        <v/>
      </c>
      <c r="I1084" s="14"/>
      <c r="J1084" s="1" t="str">
        <f>IF(COUNTA(A1084:F3371)=0,"",IF(#REF!="","BRAK PROTOKOŁU","DODANY"))</f>
        <v/>
      </c>
      <c r="K1084" s="1"/>
      <c r="M1084" s="13" t="str" cm="1">
        <f t="array" ref="M1084">IF($A1084="","",IFERROR(TRANSPOSE(_xlfn._xlws.FILTER(Lokale!$C$3:$C$91,Lokale!$B$3:$B$91=$A1084)),""))</f>
        <v/>
      </c>
      <c r="AJ1084" s="13" t="str" cm="1">
        <f t="array" ref="AJ1084">IF($C1084="","",IFERROR(TRANSPOSE(_xlfn._xlws.FILTER(Listy!$D$2:$D$60,Listy!$C$2:$C$60=$C1084)),""))</f>
        <v/>
      </c>
    </row>
    <row r="1085" spans="7:36" ht="25" customHeight="1" x14ac:dyDescent="0.35">
      <c r="G1085" s="15" t="str">
        <f t="shared" si="70"/>
        <v/>
      </c>
      <c r="H1085" s="12" t="str">
        <f t="shared" ca="1" si="71"/>
        <v/>
      </c>
      <c r="I1085" s="14"/>
      <c r="J1085" s="1" t="str">
        <f>IF(COUNTA(A1085:F3372)=0,"",IF(#REF!="","BRAK PROTOKOŁU","DODANY"))</f>
        <v/>
      </c>
      <c r="K1085" s="1"/>
      <c r="M1085" s="13" t="str" cm="1">
        <f t="array" ref="M1085">IF($A1085="","",IFERROR(TRANSPOSE(_xlfn._xlws.FILTER(Lokale!$C$3:$C$91,Lokale!$B$3:$B$91=$A1085)),""))</f>
        <v/>
      </c>
      <c r="AJ1085" s="13" t="str" cm="1">
        <f t="array" ref="AJ1085">IF($C1085="","",IFERROR(TRANSPOSE(_xlfn._xlws.FILTER(Listy!$D$2:$D$60,Listy!$C$2:$C$60=$C1085)),""))</f>
        <v/>
      </c>
    </row>
    <row r="1086" spans="7:36" ht="25" customHeight="1" x14ac:dyDescent="0.35">
      <c r="G1086" s="15" t="str">
        <f t="shared" si="70"/>
        <v/>
      </c>
      <c r="H1086" s="12" t="str">
        <f t="shared" ca="1" si="71"/>
        <v/>
      </c>
      <c r="I1086" s="14"/>
      <c r="J1086" s="1" t="str">
        <f>IF(COUNTA(A1086:F3373)=0,"",IF(#REF!="","BRAK PROTOKOŁU","DODANY"))</f>
        <v/>
      </c>
      <c r="K1086" s="1"/>
      <c r="M1086" s="13" t="str" cm="1">
        <f t="array" ref="M1086">IF($A1086="","",IFERROR(TRANSPOSE(_xlfn._xlws.FILTER(Lokale!$C$3:$C$91,Lokale!$B$3:$B$91=$A1086)),""))</f>
        <v/>
      </c>
      <c r="AJ1086" s="13" t="str" cm="1">
        <f t="array" ref="AJ1086">IF($C1086="","",IFERROR(TRANSPOSE(_xlfn._xlws.FILTER(Listy!$D$2:$D$60,Listy!$C$2:$C$60=$C1086)),""))</f>
        <v/>
      </c>
    </row>
    <row r="1087" spans="7:36" ht="25" customHeight="1" x14ac:dyDescent="0.35">
      <c r="G1087" s="15" t="str">
        <f t="shared" si="70"/>
        <v/>
      </c>
      <c r="H1087" s="12" t="str">
        <f t="shared" ca="1" si="71"/>
        <v/>
      </c>
      <c r="I1087" s="14"/>
      <c r="J1087" s="1" t="str">
        <f>IF(COUNTA(A1087:F3374)=0,"",IF(#REF!="","BRAK PROTOKOŁU","DODANY"))</f>
        <v/>
      </c>
      <c r="K1087" s="1"/>
      <c r="M1087" s="13" t="str" cm="1">
        <f t="array" ref="M1087">IF($A1087="","",IFERROR(TRANSPOSE(_xlfn._xlws.FILTER(Lokale!$C$3:$C$91,Lokale!$B$3:$B$91=$A1087)),""))</f>
        <v/>
      </c>
      <c r="AJ1087" s="13" t="str" cm="1">
        <f t="array" ref="AJ1087">IF($C1087="","",IFERROR(TRANSPOSE(_xlfn._xlws.FILTER(Listy!$D$2:$D$60,Listy!$C$2:$C$60=$C1087)),""))</f>
        <v/>
      </c>
    </row>
    <row r="1088" spans="7:36" ht="25" customHeight="1" x14ac:dyDescent="0.35">
      <c r="G1088" s="15" t="str">
        <f t="shared" si="70"/>
        <v/>
      </c>
      <c r="H1088" s="12" t="str">
        <f t="shared" ca="1" si="71"/>
        <v/>
      </c>
      <c r="I1088" s="14"/>
      <c r="J1088" s="1" t="str">
        <f>IF(COUNTA(A1088:F3375)=0,"",IF(#REF!="","BRAK PROTOKOŁU","DODANY"))</f>
        <v/>
      </c>
      <c r="K1088" s="1"/>
      <c r="M1088" s="13" t="str" cm="1">
        <f t="array" ref="M1088">IF($A1088="","",IFERROR(TRANSPOSE(_xlfn._xlws.FILTER(Lokale!$C$3:$C$91,Lokale!$B$3:$B$91=$A1088)),""))</f>
        <v/>
      </c>
      <c r="AJ1088" s="13" t="str" cm="1">
        <f t="array" ref="AJ1088">IF($C1088="","",IFERROR(TRANSPOSE(_xlfn._xlws.FILTER(Listy!$D$2:$D$60,Listy!$C$2:$C$60=$C1088)),""))</f>
        <v/>
      </c>
    </row>
    <row r="1089" spans="7:36" ht="25" customHeight="1" x14ac:dyDescent="0.35">
      <c r="G1089" s="15" t="str">
        <f t="shared" si="70"/>
        <v/>
      </c>
      <c r="H1089" s="12" t="str">
        <f t="shared" ca="1" si="71"/>
        <v/>
      </c>
      <c r="I1089" s="14"/>
      <c r="J1089" s="1" t="str">
        <f>IF(COUNTA(A1089:F3376)=0,"",IF(#REF!="","BRAK PROTOKOŁU","DODANY"))</f>
        <v/>
      </c>
      <c r="K1089" s="1"/>
      <c r="M1089" s="13" t="str" cm="1">
        <f t="array" ref="M1089">IF($A1089="","",IFERROR(TRANSPOSE(_xlfn._xlws.FILTER(Lokale!$C$3:$C$91,Lokale!$B$3:$B$91=$A1089)),""))</f>
        <v/>
      </c>
      <c r="AJ1089" s="13" t="str" cm="1">
        <f t="array" ref="AJ1089">IF($C1089="","",IFERROR(TRANSPOSE(_xlfn._xlws.FILTER(Listy!$D$2:$D$60,Listy!$C$2:$C$60=$C1089)),""))</f>
        <v/>
      </c>
    </row>
    <row r="1090" spans="7:36" ht="25" customHeight="1" x14ac:dyDescent="0.35">
      <c r="G1090" s="15" t="str">
        <f t="shared" si="70"/>
        <v/>
      </c>
      <c r="H1090" s="12" t="str">
        <f t="shared" ca="1" si="71"/>
        <v/>
      </c>
      <c r="I1090" s="14"/>
      <c r="J1090" s="1" t="str">
        <f>IF(COUNTA(A1090:F3377)=0,"",IF(#REF!="","BRAK PROTOKOŁU","DODANY"))</f>
        <v/>
      </c>
      <c r="K1090" s="1"/>
      <c r="M1090" s="13" t="str" cm="1">
        <f t="array" ref="M1090">IF($A1090="","",IFERROR(TRANSPOSE(_xlfn._xlws.FILTER(Lokale!$C$3:$C$91,Lokale!$B$3:$B$91=$A1090)),""))</f>
        <v/>
      </c>
      <c r="AJ1090" s="13" t="str" cm="1">
        <f t="array" ref="AJ1090">IF($C1090="","",IFERROR(TRANSPOSE(_xlfn._xlws.FILTER(Listy!$D$2:$D$60,Listy!$C$2:$C$60=$C1090)),""))</f>
        <v/>
      </c>
    </row>
    <row r="1091" spans="7:36" ht="25" customHeight="1" x14ac:dyDescent="0.35">
      <c r="G1091" s="15" t="str">
        <f t="shared" si="70"/>
        <v/>
      </c>
      <c r="H1091" s="12" t="str">
        <f t="shared" ca="1" si="71"/>
        <v/>
      </c>
      <c r="I1091" s="14"/>
      <c r="J1091" s="1" t="str">
        <f>IF(COUNTA(A1091:F3378)=0,"",IF(#REF!="","BRAK PROTOKOŁU","DODANY"))</f>
        <v/>
      </c>
      <c r="K1091" s="1"/>
      <c r="M1091" s="13" t="str" cm="1">
        <f t="array" ref="M1091">IF($A1091="","",IFERROR(TRANSPOSE(_xlfn._xlws.FILTER(Lokale!$C$3:$C$91,Lokale!$B$3:$B$91=$A1091)),""))</f>
        <v/>
      </c>
      <c r="AJ1091" s="13" t="str" cm="1">
        <f t="array" ref="AJ1091">IF($C1091="","",IFERROR(TRANSPOSE(_xlfn._xlws.FILTER(Listy!$D$2:$D$60,Listy!$C$2:$C$60=$C1091)),""))</f>
        <v/>
      </c>
    </row>
    <row r="1092" spans="7:36" ht="25" customHeight="1" x14ac:dyDescent="0.35">
      <c r="G1092" s="15" t="str">
        <f t="shared" si="70"/>
        <v/>
      </c>
      <c r="H1092" s="12" t="str">
        <f t="shared" ca="1" si="71"/>
        <v/>
      </c>
      <c r="I1092" s="14"/>
      <c r="J1092" s="1" t="str">
        <f>IF(COUNTA(A1092:F3379)=0,"",IF(#REF!="","BRAK PROTOKOŁU","DODANY"))</f>
        <v/>
      </c>
      <c r="K1092" s="1"/>
      <c r="M1092" s="13" t="str" cm="1">
        <f t="array" ref="M1092">IF($A1092="","",IFERROR(TRANSPOSE(_xlfn._xlws.FILTER(Lokale!$C$3:$C$91,Lokale!$B$3:$B$91=$A1092)),""))</f>
        <v/>
      </c>
      <c r="AJ1092" s="13" t="str" cm="1">
        <f t="array" ref="AJ1092">IF($C1092="","",IFERROR(TRANSPOSE(_xlfn._xlws.FILTER(Listy!$D$2:$D$60,Listy!$C$2:$C$60=$C1092)),""))</f>
        <v/>
      </c>
    </row>
    <row r="1093" spans="7:36" ht="25" customHeight="1" x14ac:dyDescent="0.35">
      <c r="G1093" s="15" t="str">
        <f t="shared" si="70"/>
        <v/>
      </c>
      <c r="H1093" s="12" t="str">
        <f t="shared" ca="1" si="71"/>
        <v/>
      </c>
      <c r="I1093" s="14"/>
      <c r="J1093" s="1" t="str">
        <f>IF(COUNTA(A1093:F3380)=0,"",IF(#REF!="","BRAK PROTOKOŁU","DODANY"))</f>
        <v/>
      </c>
      <c r="K1093" s="1"/>
      <c r="M1093" s="13" t="str" cm="1">
        <f t="array" ref="M1093">IF($A1093="","",IFERROR(TRANSPOSE(_xlfn._xlws.FILTER(Lokale!$C$3:$C$91,Lokale!$B$3:$B$91=$A1093)),""))</f>
        <v/>
      </c>
      <c r="AJ1093" s="13" t="str" cm="1">
        <f t="array" ref="AJ1093">IF($C1093="","",IFERROR(TRANSPOSE(_xlfn._xlws.FILTER(Listy!$D$2:$D$60,Listy!$C$2:$C$60=$C1093)),""))</f>
        <v/>
      </c>
    </row>
    <row r="1094" spans="7:36" ht="25" customHeight="1" x14ac:dyDescent="0.35">
      <c r="G1094" s="15" t="str">
        <f t="shared" si="70"/>
        <v/>
      </c>
      <c r="H1094" s="12" t="str">
        <f t="shared" ca="1" si="71"/>
        <v/>
      </c>
      <c r="I1094" s="14"/>
      <c r="J1094" s="1" t="str">
        <f>IF(COUNTA(A1094:F3381)=0,"",IF(#REF!="","BRAK PROTOKOŁU","DODANY"))</f>
        <v/>
      </c>
      <c r="K1094" s="1"/>
      <c r="M1094" s="13" t="str" cm="1">
        <f t="array" ref="M1094">IF($A1094="","",IFERROR(TRANSPOSE(_xlfn._xlws.FILTER(Lokale!$C$3:$C$91,Lokale!$B$3:$B$91=$A1094)),""))</f>
        <v/>
      </c>
      <c r="AJ1094" s="13" t="str" cm="1">
        <f t="array" ref="AJ1094">IF($C1094="","",IFERROR(TRANSPOSE(_xlfn._xlws.FILTER(Listy!$D$2:$D$60,Listy!$C$2:$C$60=$C1094)),""))</f>
        <v/>
      </c>
    </row>
    <row r="1095" spans="7:36" ht="25" customHeight="1" x14ac:dyDescent="0.35">
      <c r="G1095" s="15" t="str">
        <f t="shared" si="70"/>
        <v/>
      </c>
      <c r="H1095" s="12" t="str">
        <f t="shared" ca="1" si="71"/>
        <v/>
      </c>
      <c r="I1095" s="14"/>
      <c r="J1095" s="1" t="str">
        <f>IF(COUNTA(A1095:F3382)=0,"",IF(#REF!="","BRAK PROTOKOŁU","DODANY"))</f>
        <v/>
      </c>
      <c r="K1095" s="1"/>
      <c r="M1095" s="13" t="str" cm="1">
        <f t="array" ref="M1095">IF($A1095="","",IFERROR(TRANSPOSE(_xlfn._xlws.FILTER(Lokale!$C$3:$C$91,Lokale!$B$3:$B$91=$A1095)),""))</f>
        <v/>
      </c>
      <c r="AJ1095" s="13" t="str" cm="1">
        <f t="array" ref="AJ1095">IF($C1095="","",IFERROR(TRANSPOSE(_xlfn._xlws.FILTER(Listy!$D$2:$D$60,Listy!$C$2:$C$60=$C1095)),""))</f>
        <v/>
      </c>
    </row>
    <row r="1096" spans="7:36" ht="25" customHeight="1" x14ac:dyDescent="0.35">
      <c r="G1096" s="15" t="str">
        <f t="shared" si="70"/>
        <v/>
      </c>
      <c r="H1096" s="12" t="str">
        <f t="shared" ca="1" si="71"/>
        <v/>
      </c>
      <c r="I1096" s="14"/>
      <c r="J1096" s="1" t="str">
        <f>IF(COUNTA(A1096:F3383)=0,"",IF(#REF!="","BRAK PROTOKOŁU","DODANY"))</f>
        <v/>
      </c>
      <c r="K1096" s="1"/>
      <c r="M1096" s="13" t="str" cm="1">
        <f t="array" ref="M1096">IF($A1096="","",IFERROR(TRANSPOSE(_xlfn._xlws.FILTER(Lokale!$C$3:$C$91,Lokale!$B$3:$B$91=$A1096)),""))</f>
        <v/>
      </c>
      <c r="AJ1096" s="13" t="str" cm="1">
        <f t="array" ref="AJ1096">IF($C1096="","",IFERROR(TRANSPOSE(_xlfn._xlws.FILTER(Listy!$D$2:$D$60,Listy!$C$2:$C$60=$C1096)),""))</f>
        <v/>
      </c>
    </row>
    <row r="1097" spans="7:36" ht="25" customHeight="1" x14ac:dyDescent="0.35">
      <c r="G1097" s="15" t="str">
        <f t="shared" si="70"/>
        <v/>
      </c>
      <c r="H1097" s="12" t="str">
        <f t="shared" ca="1" si="71"/>
        <v/>
      </c>
      <c r="I1097" s="14"/>
      <c r="J1097" s="1" t="str">
        <f>IF(COUNTA(A1097:F3384)=0,"",IF(#REF!="","BRAK PROTOKOŁU","DODANY"))</f>
        <v/>
      </c>
      <c r="K1097" s="1"/>
      <c r="M1097" s="13" t="str" cm="1">
        <f t="array" ref="M1097">IF($A1097="","",IFERROR(TRANSPOSE(_xlfn._xlws.FILTER(Lokale!$C$3:$C$91,Lokale!$B$3:$B$91=$A1097)),""))</f>
        <v/>
      </c>
      <c r="AJ1097" s="13" t="str" cm="1">
        <f t="array" ref="AJ1097">IF($C1097="","",IFERROR(TRANSPOSE(_xlfn._xlws.FILTER(Listy!$D$2:$D$60,Listy!$C$2:$C$60=$C1097)),""))</f>
        <v/>
      </c>
    </row>
    <row r="1098" spans="7:36" ht="25" customHeight="1" x14ac:dyDescent="0.35">
      <c r="G1098" s="15" t="str">
        <f t="shared" si="70"/>
        <v/>
      </c>
      <c r="H1098" s="12" t="str">
        <f t="shared" ca="1" si="71"/>
        <v/>
      </c>
      <c r="I1098" s="14"/>
      <c r="J1098" s="1" t="str">
        <f>IF(COUNTA(A1098:F3385)=0,"",IF(#REF!="","BRAK PROTOKOŁU","DODANY"))</f>
        <v/>
      </c>
      <c r="K1098" s="1"/>
      <c r="M1098" s="13" t="str" cm="1">
        <f t="array" ref="M1098">IF($A1098="","",IFERROR(TRANSPOSE(_xlfn._xlws.FILTER(Lokale!$C$3:$C$91,Lokale!$B$3:$B$91=$A1098)),""))</f>
        <v/>
      </c>
      <c r="AJ1098" s="13" t="str" cm="1">
        <f t="array" ref="AJ1098">IF($C1098="","",IFERROR(TRANSPOSE(_xlfn._xlws.FILTER(Listy!$D$2:$D$60,Listy!$C$2:$C$60=$C1098)),""))</f>
        <v/>
      </c>
    </row>
    <row r="1099" spans="7:36" ht="25" customHeight="1" x14ac:dyDescent="0.35">
      <c r="G1099" s="15" t="str">
        <f t="shared" si="70"/>
        <v/>
      </c>
      <c r="H1099" s="12" t="str">
        <f t="shared" ca="1" si="71"/>
        <v/>
      </c>
      <c r="I1099" s="14"/>
      <c r="J1099" s="1" t="str">
        <f>IF(COUNTA(A1099:F3386)=0,"",IF(#REF!="","BRAK PROTOKOŁU","DODANY"))</f>
        <v/>
      </c>
      <c r="K1099" s="1"/>
      <c r="M1099" s="13" t="str" cm="1">
        <f t="array" ref="M1099">IF($A1099="","",IFERROR(TRANSPOSE(_xlfn._xlws.FILTER(Lokale!$C$3:$C$91,Lokale!$B$3:$B$91=$A1099)),""))</f>
        <v/>
      </c>
      <c r="AJ1099" s="13" t="str" cm="1">
        <f t="array" ref="AJ1099">IF($C1099="","",IFERROR(TRANSPOSE(_xlfn._xlws.FILTER(Listy!$D$2:$D$60,Listy!$C$2:$C$60=$C1099)),""))</f>
        <v/>
      </c>
    </row>
    <row r="1100" spans="7:36" ht="25" customHeight="1" x14ac:dyDescent="0.35">
      <c r="G1100" s="15" t="str">
        <f t="shared" si="70"/>
        <v/>
      </c>
      <c r="H1100" s="12" t="str">
        <f t="shared" ca="1" si="71"/>
        <v/>
      </c>
      <c r="I1100" s="14"/>
      <c r="J1100" s="1" t="str">
        <f>IF(COUNTA(A1100:F3387)=0,"",IF(#REF!="","BRAK PROTOKOŁU","DODANY"))</f>
        <v/>
      </c>
      <c r="K1100" s="1"/>
      <c r="M1100" s="13" t="str" cm="1">
        <f t="array" ref="M1100">IF($A1100="","",IFERROR(TRANSPOSE(_xlfn._xlws.FILTER(Lokale!$C$3:$C$91,Lokale!$B$3:$B$91=$A1100)),""))</f>
        <v/>
      </c>
      <c r="AJ1100" s="13" t="str" cm="1">
        <f t="array" ref="AJ1100">IF($C1100="","",IFERROR(TRANSPOSE(_xlfn._xlws.FILTER(Listy!$D$2:$D$60,Listy!$C$2:$C$60=$C1100)),""))</f>
        <v/>
      </c>
    </row>
    <row r="1101" spans="7:36" ht="25" customHeight="1" x14ac:dyDescent="0.35">
      <c r="G1101" s="15" t="str">
        <f t="shared" si="70"/>
        <v/>
      </c>
      <c r="H1101" s="12" t="str">
        <f t="shared" ca="1" si="71"/>
        <v/>
      </c>
      <c r="I1101" s="14"/>
      <c r="J1101" s="1" t="str">
        <f>IF(COUNTA(A1101:F3388)=0,"",IF(#REF!="","BRAK PROTOKOŁU","DODANY"))</f>
        <v/>
      </c>
      <c r="K1101" s="1"/>
      <c r="M1101" s="13" t="str" cm="1">
        <f t="array" ref="M1101">IF($A1101="","",IFERROR(TRANSPOSE(_xlfn._xlws.FILTER(Lokale!$C$3:$C$91,Lokale!$B$3:$B$91=$A1101)),""))</f>
        <v/>
      </c>
      <c r="AJ1101" s="13" t="str" cm="1">
        <f t="array" ref="AJ1101">IF($C1101="","",IFERROR(TRANSPOSE(_xlfn._xlws.FILTER(Listy!$D$2:$D$60,Listy!$C$2:$C$60=$C1101)),""))</f>
        <v/>
      </c>
    </row>
    <row r="1102" spans="7:36" ht="25" customHeight="1" x14ac:dyDescent="0.35">
      <c r="G1102" s="15" t="str">
        <f t="shared" si="70"/>
        <v/>
      </c>
      <c r="H1102" s="12" t="str">
        <f t="shared" ca="1" si="71"/>
        <v/>
      </c>
      <c r="I1102" s="14"/>
      <c r="J1102" s="1" t="str">
        <f>IF(COUNTA(A1102:F3389)=0,"",IF(#REF!="","BRAK PROTOKOŁU","DODANY"))</f>
        <v/>
      </c>
      <c r="K1102" s="1"/>
      <c r="M1102" s="13" t="str" cm="1">
        <f t="array" ref="M1102">IF($A1102="","",IFERROR(TRANSPOSE(_xlfn._xlws.FILTER(Lokale!$C$3:$C$91,Lokale!$B$3:$B$91=$A1102)),""))</f>
        <v/>
      </c>
      <c r="AJ1102" s="13" t="str" cm="1">
        <f t="array" ref="AJ1102">IF($C1102="","",IFERROR(TRANSPOSE(_xlfn._xlws.FILTER(Listy!$D$2:$D$60,Listy!$C$2:$C$60=$C1102)),""))</f>
        <v/>
      </c>
    </row>
    <row r="1103" spans="7:36" ht="25" customHeight="1" x14ac:dyDescent="0.35">
      <c r="G1103" s="15" t="str">
        <f t="shared" si="70"/>
        <v/>
      </c>
      <c r="H1103" s="12" t="str">
        <f t="shared" ca="1" si="71"/>
        <v/>
      </c>
      <c r="I1103" s="14"/>
      <c r="J1103" s="1" t="str">
        <f>IF(COUNTA(A1103:F3390)=0,"",IF(#REF!="","BRAK PROTOKOŁU","DODANY"))</f>
        <v/>
      </c>
      <c r="K1103" s="1"/>
      <c r="M1103" s="13" t="str" cm="1">
        <f t="array" ref="M1103">IF($A1103="","",IFERROR(TRANSPOSE(_xlfn._xlws.FILTER(Lokale!$C$3:$C$91,Lokale!$B$3:$B$91=$A1103)),""))</f>
        <v/>
      </c>
      <c r="AJ1103" s="13" t="str" cm="1">
        <f t="array" ref="AJ1103">IF($C1103="","",IFERROR(TRANSPOSE(_xlfn._xlws.FILTER(Listy!$D$2:$D$60,Listy!$C$2:$C$60=$C1103)),""))</f>
        <v/>
      </c>
    </row>
    <row r="1104" spans="7:36" ht="25" customHeight="1" x14ac:dyDescent="0.35">
      <c r="G1104" s="15" t="str">
        <f t="shared" si="70"/>
        <v/>
      </c>
      <c r="H1104" s="12" t="str">
        <f t="shared" ca="1" si="71"/>
        <v/>
      </c>
      <c r="I1104" s="14"/>
      <c r="J1104" s="1" t="str">
        <f>IF(COUNTA(A1104:F3391)=0,"",IF(#REF!="","BRAK PROTOKOŁU","DODANY"))</f>
        <v/>
      </c>
      <c r="K1104" s="1"/>
      <c r="M1104" s="13" t="str" cm="1">
        <f t="array" ref="M1104">IF($A1104="","",IFERROR(TRANSPOSE(_xlfn._xlws.FILTER(Lokale!$C$3:$C$91,Lokale!$B$3:$B$91=$A1104)),""))</f>
        <v/>
      </c>
      <c r="AJ1104" s="13" t="str" cm="1">
        <f t="array" ref="AJ1104">IF($C1104="","",IFERROR(TRANSPOSE(_xlfn._xlws.FILTER(Listy!$D$2:$D$60,Listy!$C$2:$C$60=$C1104)),""))</f>
        <v/>
      </c>
    </row>
    <row r="1105" spans="7:36" ht="25" customHeight="1" x14ac:dyDescent="0.35">
      <c r="G1105" s="15" t="str">
        <f t="shared" si="70"/>
        <v/>
      </c>
      <c r="H1105" s="12" t="str">
        <f t="shared" ca="1" si="71"/>
        <v/>
      </c>
      <c r="I1105" s="14"/>
      <c r="J1105" s="1" t="str">
        <f>IF(COUNTA(A1105:F3392)=0,"",IF(#REF!="","BRAK PROTOKOŁU","DODANY"))</f>
        <v/>
      </c>
      <c r="K1105" s="1"/>
      <c r="M1105" s="13" t="str" cm="1">
        <f t="array" ref="M1105">IF($A1105="","",IFERROR(TRANSPOSE(_xlfn._xlws.FILTER(Lokale!$C$3:$C$91,Lokale!$B$3:$B$91=$A1105)),""))</f>
        <v/>
      </c>
      <c r="AJ1105" s="13" t="str" cm="1">
        <f t="array" ref="AJ1105">IF($C1105="","",IFERROR(TRANSPOSE(_xlfn._xlws.FILTER(Listy!$D$2:$D$60,Listy!$C$2:$C$60=$C1105)),""))</f>
        <v/>
      </c>
    </row>
    <row r="1106" spans="7:36" ht="25" customHeight="1" x14ac:dyDescent="0.35">
      <c r="G1106" s="15" t="str">
        <f t="shared" si="70"/>
        <v/>
      </c>
      <c r="H1106" s="12" t="str">
        <f t="shared" ca="1" si="71"/>
        <v/>
      </c>
      <c r="I1106" s="14"/>
      <c r="J1106" s="1" t="str">
        <f>IF(COUNTA(A1106:F3393)=0,"",IF(#REF!="","BRAK PROTOKOŁU","DODANY"))</f>
        <v/>
      </c>
      <c r="K1106" s="1"/>
      <c r="M1106" s="13" t="str" cm="1">
        <f t="array" ref="M1106">IF($A1106="","",IFERROR(TRANSPOSE(_xlfn._xlws.FILTER(Lokale!$C$3:$C$91,Lokale!$B$3:$B$91=$A1106)),""))</f>
        <v/>
      </c>
      <c r="AJ1106" s="13" t="str" cm="1">
        <f t="array" ref="AJ1106">IF($C1106="","",IFERROR(TRANSPOSE(_xlfn._xlws.FILTER(Listy!$D$2:$D$60,Listy!$C$2:$C$60=$C1106)),""))</f>
        <v/>
      </c>
    </row>
    <row r="1107" spans="7:36" ht="25" customHeight="1" x14ac:dyDescent="0.35">
      <c r="G1107" s="15" t="str">
        <f t="shared" si="70"/>
        <v/>
      </c>
      <c r="H1107" s="12" t="str">
        <f t="shared" ca="1" si="71"/>
        <v/>
      </c>
      <c r="I1107" s="14"/>
      <c r="J1107" s="1" t="str">
        <f>IF(COUNTA(A1107:F3394)=0,"",IF(#REF!="","BRAK PROTOKOŁU","DODANY"))</f>
        <v/>
      </c>
      <c r="K1107" s="1"/>
      <c r="M1107" s="13" t="str" cm="1">
        <f t="array" ref="M1107">IF($A1107="","",IFERROR(TRANSPOSE(_xlfn._xlws.FILTER(Lokale!$C$3:$C$91,Lokale!$B$3:$B$91=$A1107)),""))</f>
        <v/>
      </c>
      <c r="AJ1107" s="13" t="str" cm="1">
        <f t="array" ref="AJ1107">IF($C1107="","",IFERROR(TRANSPOSE(_xlfn._xlws.FILTER(Listy!$D$2:$D$60,Listy!$C$2:$C$60=$C1107)),""))</f>
        <v/>
      </c>
    </row>
    <row r="1108" spans="7:36" ht="25" customHeight="1" x14ac:dyDescent="0.35">
      <c r="G1108" s="15" t="str">
        <f t="shared" si="70"/>
        <v/>
      </c>
      <c r="H1108" s="12" t="str">
        <f t="shared" ca="1" si="71"/>
        <v/>
      </c>
      <c r="I1108" s="14"/>
      <c r="J1108" s="1" t="str">
        <f>IF(COUNTA(A1108:F3395)=0,"",IF(#REF!="","BRAK PROTOKOŁU","DODANY"))</f>
        <v/>
      </c>
      <c r="K1108" s="1"/>
      <c r="M1108" s="13" t="str" cm="1">
        <f t="array" ref="M1108">IF($A1108="","",IFERROR(TRANSPOSE(_xlfn._xlws.FILTER(Lokale!$C$3:$C$91,Lokale!$B$3:$B$91=$A1108)),""))</f>
        <v/>
      </c>
      <c r="AJ1108" s="13" t="str" cm="1">
        <f t="array" ref="AJ1108">IF($C1108="","",IFERROR(TRANSPOSE(_xlfn._xlws.FILTER(Listy!$D$2:$D$60,Listy!$C$2:$C$60=$C1108)),""))</f>
        <v/>
      </c>
    </row>
    <row r="1109" spans="7:36" ht="25" customHeight="1" x14ac:dyDescent="0.35">
      <c r="G1109" s="15" t="str">
        <f t="shared" si="70"/>
        <v/>
      </c>
      <c r="H1109" s="12" t="str">
        <f t="shared" ca="1" si="71"/>
        <v/>
      </c>
      <c r="I1109" s="14"/>
      <c r="J1109" s="1" t="str">
        <f>IF(COUNTA(A1109:F3396)=0,"",IF(#REF!="","BRAK PROTOKOŁU","DODANY"))</f>
        <v/>
      </c>
      <c r="K1109" s="1"/>
      <c r="M1109" s="13" t="str" cm="1">
        <f t="array" ref="M1109">IF($A1109="","",IFERROR(TRANSPOSE(_xlfn._xlws.FILTER(Lokale!$C$3:$C$91,Lokale!$B$3:$B$91=$A1109)),""))</f>
        <v/>
      </c>
      <c r="AJ1109" s="13" t="str" cm="1">
        <f t="array" ref="AJ1109">IF($C1109="","",IFERROR(TRANSPOSE(_xlfn._xlws.FILTER(Listy!$D$2:$D$60,Listy!$C$2:$C$60=$C1109)),""))</f>
        <v/>
      </c>
    </row>
    <row r="1110" spans="7:36" ht="25" customHeight="1" x14ac:dyDescent="0.35">
      <c r="G1110" s="15" t="str">
        <f t="shared" si="70"/>
        <v/>
      </c>
      <c r="H1110" s="12" t="str">
        <f t="shared" ca="1" si="71"/>
        <v/>
      </c>
      <c r="I1110" s="14"/>
      <c r="J1110" s="1" t="str">
        <f>IF(COUNTA(A1110:F3397)=0,"",IF(#REF!="","BRAK PROTOKOŁU","DODANY"))</f>
        <v/>
      </c>
      <c r="K1110" s="1"/>
      <c r="M1110" s="13" t="str" cm="1">
        <f t="array" ref="M1110">IF($A1110="","",IFERROR(TRANSPOSE(_xlfn._xlws.FILTER(Lokale!$C$3:$C$91,Lokale!$B$3:$B$91=$A1110)),""))</f>
        <v/>
      </c>
      <c r="AJ1110" s="13" t="str" cm="1">
        <f t="array" ref="AJ1110">IF($C1110="","",IFERROR(TRANSPOSE(_xlfn._xlws.FILTER(Listy!$D$2:$D$60,Listy!$C$2:$C$60=$C1110)),""))</f>
        <v/>
      </c>
    </row>
    <row r="1111" spans="7:36" ht="25" customHeight="1" x14ac:dyDescent="0.35">
      <c r="G1111" s="15" t="str">
        <f t="shared" si="70"/>
        <v/>
      </c>
      <c r="H1111" s="12" t="str">
        <f t="shared" ca="1" si="71"/>
        <v/>
      </c>
      <c r="I1111" s="14"/>
      <c r="J1111" s="1" t="str">
        <f>IF(COUNTA(A1111:F3398)=0,"",IF(#REF!="","BRAK PROTOKOŁU","DODANY"))</f>
        <v/>
      </c>
      <c r="K1111" s="1"/>
      <c r="M1111" s="13" t="str" cm="1">
        <f t="array" ref="M1111">IF($A1111="","",IFERROR(TRANSPOSE(_xlfn._xlws.FILTER(Lokale!$C$3:$C$91,Lokale!$B$3:$B$91=$A1111)),""))</f>
        <v/>
      </c>
      <c r="AJ1111" s="13" t="str" cm="1">
        <f t="array" ref="AJ1111">IF($C1111="","",IFERROR(TRANSPOSE(_xlfn._xlws.FILTER(Listy!$D$2:$D$60,Listy!$C$2:$C$60=$C1111)),""))</f>
        <v/>
      </c>
    </row>
    <row r="1112" spans="7:36" ht="25" customHeight="1" x14ac:dyDescent="0.35">
      <c r="G1112" s="15" t="str">
        <f t="shared" si="70"/>
        <v/>
      </c>
      <c r="H1112" s="12" t="str">
        <f t="shared" ca="1" si="71"/>
        <v/>
      </c>
      <c r="I1112" s="14"/>
      <c r="J1112" s="1" t="str">
        <f>IF(COUNTA(A1112:F3399)=0,"",IF(#REF!="","BRAK PROTOKOŁU","DODANY"))</f>
        <v/>
      </c>
      <c r="K1112" s="1"/>
      <c r="M1112" s="13" t="str" cm="1">
        <f t="array" ref="M1112">IF($A1112="","",IFERROR(TRANSPOSE(_xlfn._xlws.FILTER(Lokale!$C$3:$C$91,Lokale!$B$3:$B$91=$A1112)),""))</f>
        <v/>
      </c>
      <c r="AJ1112" s="13" t="str" cm="1">
        <f t="array" ref="AJ1112">IF($C1112="","",IFERROR(TRANSPOSE(_xlfn._xlws.FILTER(Listy!$D$2:$D$60,Listy!$C$2:$C$60=$C1112)),""))</f>
        <v/>
      </c>
    </row>
    <row r="1113" spans="7:36" ht="25" customHeight="1" x14ac:dyDescent="0.35">
      <c r="G1113" s="15" t="str">
        <f t="shared" si="70"/>
        <v/>
      </c>
      <c r="H1113" s="12" t="str">
        <f t="shared" ca="1" si="71"/>
        <v/>
      </c>
      <c r="I1113" s="14"/>
      <c r="J1113" s="1" t="str">
        <f>IF(COUNTA(A1113:F3400)=0,"",IF(#REF!="","BRAK PROTOKOŁU","DODANY"))</f>
        <v/>
      </c>
      <c r="K1113" s="1"/>
      <c r="M1113" s="13" t="str" cm="1">
        <f t="array" ref="M1113">IF($A1113="","",IFERROR(TRANSPOSE(_xlfn._xlws.FILTER(Lokale!$C$3:$C$91,Lokale!$B$3:$B$91=$A1113)),""))</f>
        <v/>
      </c>
      <c r="AJ1113" s="13" t="str" cm="1">
        <f t="array" ref="AJ1113">IF($C1113="","",IFERROR(TRANSPOSE(_xlfn._xlws.FILTER(Listy!$D$2:$D$60,Listy!$C$2:$C$60=$C1113)),""))</f>
        <v/>
      </c>
    </row>
    <row r="1114" spans="7:36" ht="25" customHeight="1" x14ac:dyDescent="0.35">
      <c r="G1114" s="15" t="str">
        <f t="shared" si="70"/>
        <v/>
      </c>
      <c r="H1114" s="12" t="str">
        <f t="shared" ca="1" si="71"/>
        <v/>
      </c>
      <c r="I1114" s="14"/>
      <c r="J1114" s="1" t="str">
        <f>IF(COUNTA(A1114:F3401)=0,"",IF(#REF!="","BRAK PROTOKOŁU","DODANY"))</f>
        <v/>
      </c>
      <c r="K1114" s="1"/>
      <c r="M1114" s="13" t="str" cm="1">
        <f t="array" ref="M1114">IF($A1114="","",IFERROR(TRANSPOSE(_xlfn._xlws.FILTER(Lokale!$C$3:$C$91,Lokale!$B$3:$B$91=$A1114)),""))</f>
        <v/>
      </c>
      <c r="AJ1114" s="13" t="str" cm="1">
        <f t="array" ref="AJ1114">IF($C1114="","",IFERROR(TRANSPOSE(_xlfn._xlws.FILTER(Listy!$D$2:$D$60,Listy!$C$2:$C$60=$C1114)),""))</f>
        <v/>
      </c>
    </row>
    <row r="1115" spans="7:36" ht="25" customHeight="1" x14ac:dyDescent="0.35">
      <c r="G1115" s="15" t="str">
        <f t="shared" si="70"/>
        <v/>
      </c>
      <c r="H1115" s="12" t="str">
        <f t="shared" ca="1" si="71"/>
        <v/>
      </c>
      <c r="I1115" s="14"/>
      <c r="J1115" s="1" t="str">
        <f>IF(COUNTA(A1115:F3402)=0,"",IF(#REF!="","BRAK PROTOKOŁU","DODANY"))</f>
        <v/>
      </c>
      <c r="K1115" s="1"/>
      <c r="M1115" s="13" t="str" cm="1">
        <f t="array" ref="M1115">IF($A1115="","",IFERROR(TRANSPOSE(_xlfn._xlws.FILTER(Lokale!$C$3:$C$91,Lokale!$B$3:$B$91=$A1115)),""))</f>
        <v/>
      </c>
      <c r="AJ1115" s="13" t="str" cm="1">
        <f t="array" ref="AJ1115">IF($C1115="","",IFERROR(TRANSPOSE(_xlfn._xlws.FILTER(Listy!$D$2:$D$60,Listy!$C$2:$C$60=$C1115)),""))</f>
        <v/>
      </c>
    </row>
    <row r="1116" spans="7:36" ht="25" customHeight="1" x14ac:dyDescent="0.35">
      <c r="G1116" s="15" t="str">
        <f t="shared" si="70"/>
        <v/>
      </c>
      <c r="H1116" s="12" t="str">
        <f t="shared" ca="1" si="71"/>
        <v/>
      </c>
      <c r="I1116" s="14"/>
      <c r="J1116" s="1" t="str">
        <f>IF(COUNTA(A1116:F3403)=0,"",IF(#REF!="","BRAK PROTOKOŁU","DODANY"))</f>
        <v/>
      </c>
      <c r="K1116" s="1"/>
      <c r="M1116" s="13" t="str" cm="1">
        <f t="array" ref="M1116">IF($A1116="","",IFERROR(TRANSPOSE(_xlfn._xlws.FILTER(Lokale!$C$3:$C$91,Lokale!$B$3:$B$91=$A1116)),""))</f>
        <v/>
      </c>
      <c r="AJ1116" s="13" t="str" cm="1">
        <f t="array" ref="AJ1116">IF($C1116="","",IFERROR(TRANSPOSE(_xlfn._xlws.FILTER(Listy!$D$2:$D$60,Listy!$C$2:$C$60=$C1116)),""))</f>
        <v/>
      </c>
    </row>
    <row r="1117" spans="7:36" ht="25" customHeight="1" x14ac:dyDescent="0.35">
      <c r="G1117" s="15" t="str">
        <f t="shared" si="70"/>
        <v/>
      </c>
      <c r="H1117" s="12" t="str">
        <f t="shared" ca="1" si="71"/>
        <v/>
      </c>
      <c r="I1117" s="14"/>
      <c r="J1117" s="1" t="str">
        <f>IF(COUNTA(A1117:F3404)=0,"",IF(#REF!="","BRAK PROTOKOŁU","DODANY"))</f>
        <v/>
      </c>
      <c r="K1117" s="1"/>
      <c r="M1117" s="13" t="str" cm="1">
        <f t="array" ref="M1117">IF($A1117="","",IFERROR(TRANSPOSE(_xlfn._xlws.FILTER(Lokale!$C$3:$C$91,Lokale!$B$3:$B$91=$A1117)),""))</f>
        <v/>
      </c>
      <c r="AJ1117" s="13" t="str" cm="1">
        <f t="array" ref="AJ1117">IF($C1117="","",IFERROR(TRANSPOSE(_xlfn._xlws.FILTER(Listy!$D$2:$D$60,Listy!$C$2:$C$60=$C1117)),""))</f>
        <v/>
      </c>
    </row>
    <row r="1118" spans="7:36" ht="25" customHeight="1" x14ac:dyDescent="0.35">
      <c r="G1118" s="15" t="str">
        <f t="shared" si="70"/>
        <v/>
      </c>
      <c r="H1118" s="12" t="str">
        <f t="shared" ca="1" si="71"/>
        <v/>
      </c>
      <c r="I1118" s="14"/>
      <c r="J1118" s="1" t="str">
        <f>IF(COUNTA(A1118:F3405)=0,"",IF(#REF!="","BRAK PROTOKOŁU","DODANY"))</f>
        <v/>
      </c>
      <c r="K1118" s="1"/>
      <c r="M1118" s="13" t="str" cm="1">
        <f t="array" ref="M1118">IF($A1118="","",IFERROR(TRANSPOSE(_xlfn._xlws.FILTER(Lokale!$C$3:$C$91,Lokale!$B$3:$B$91=$A1118)),""))</f>
        <v/>
      </c>
      <c r="AJ1118" s="13" t="str" cm="1">
        <f t="array" ref="AJ1118">IF($C1118="","",IFERROR(TRANSPOSE(_xlfn._xlws.FILTER(Listy!$D$2:$D$60,Listy!$C$2:$C$60=$C1118)),""))</f>
        <v/>
      </c>
    </row>
    <row r="1119" spans="7:36" ht="25" customHeight="1" x14ac:dyDescent="0.35">
      <c r="G1119" s="15" t="str">
        <f t="shared" si="70"/>
        <v/>
      </c>
      <c r="H1119" s="12" t="str">
        <f t="shared" ca="1" si="71"/>
        <v/>
      </c>
      <c r="I1119" s="14"/>
      <c r="J1119" s="1" t="str">
        <f>IF(COUNTA(A1119:F3406)=0,"",IF(#REF!="","BRAK PROTOKOŁU","DODANY"))</f>
        <v/>
      </c>
      <c r="K1119" s="1"/>
      <c r="M1119" s="13" t="str" cm="1">
        <f t="array" ref="M1119">IF($A1119="","",IFERROR(TRANSPOSE(_xlfn._xlws.FILTER(Lokale!$C$3:$C$91,Lokale!$B$3:$B$91=$A1119)),""))</f>
        <v/>
      </c>
      <c r="AJ1119" s="13" t="str" cm="1">
        <f t="array" ref="AJ1119">IF($C1119="","",IFERROR(TRANSPOSE(_xlfn._xlws.FILTER(Listy!$D$2:$D$60,Listy!$C$2:$C$60=$C1119)),""))</f>
        <v/>
      </c>
    </row>
    <row r="1120" spans="7:36" ht="25" customHeight="1" x14ac:dyDescent="0.35">
      <c r="G1120" s="15" t="str">
        <f t="shared" si="70"/>
        <v/>
      </c>
      <c r="H1120" s="12" t="str">
        <f t="shared" ca="1" si="71"/>
        <v/>
      </c>
      <c r="I1120" s="14"/>
      <c r="J1120" s="1" t="str">
        <f>IF(COUNTA(A1120:F3407)=0,"",IF(#REF!="","BRAK PROTOKOŁU","DODANY"))</f>
        <v/>
      </c>
      <c r="K1120" s="1"/>
      <c r="M1120" s="13" t="str" cm="1">
        <f t="array" ref="M1120">IF($A1120="","",IFERROR(TRANSPOSE(_xlfn._xlws.FILTER(Lokale!$C$3:$C$91,Lokale!$B$3:$B$91=$A1120)),""))</f>
        <v/>
      </c>
      <c r="AJ1120" s="13" t="str" cm="1">
        <f t="array" ref="AJ1120">IF($C1120="","",IFERROR(TRANSPOSE(_xlfn._xlws.FILTER(Listy!$D$2:$D$60,Listy!$C$2:$C$60=$C1120)),""))</f>
        <v/>
      </c>
    </row>
    <row r="1121" spans="7:36" ht="25" customHeight="1" x14ac:dyDescent="0.35">
      <c r="G1121" s="15" t="str">
        <f t="shared" si="70"/>
        <v/>
      </c>
      <c r="H1121" s="12" t="str">
        <f t="shared" ca="1" si="71"/>
        <v/>
      </c>
      <c r="I1121" s="14"/>
      <c r="J1121" s="1" t="str">
        <f>IF(COUNTA(A1121:F3408)=0,"",IF(#REF!="","BRAK PROTOKOŁU","DODANY"))</f>
        <v/>
      </c>
      <c r="K1121" s="1"/>
      <c r="M1121" s="13" t="str" cm="1">
        <f t="array" ref="M1121">IF($A1121="","",IFERROR(TRANSPOSE(_xlfn._xlws.FILTER(Lokale!$C$3:$C$91,Lokale!$B$3:$B$91=$A1121)),""))</f>
        <v/>
      </c>
      <c r="AJ1121" s="13" t="str" cm="1">
        <f t="array" ref="AJ1121">IF($C1121="","",IFERROR(TRANSPOSE(_xlfn._xlws.FILTER(Listy!$D$2:$D$60,Listy!$C$2:$C$60=$C1121)),""))</f>
        <v/>
      </c>
    </row>
    <row r="1122" spans="7:36" ht="25" customHeight="1" x14ac:dyDescent="0.35">
      <c r="G1122" s="15" t="str">
        <f t="shared" ref="G1122:G1185" si="72">IF(OR(E1122="",F1122=""),"",DATE(YEAR(E1122),MONTH(E1122)+F1122,DAY(E1122)))</f>
        <v/>
      </c>
      <c r="H1122" s="12" t="str">
        <f t="shared" ref="H1122:H1185" ca="1" si="73">IF(G1122="","",IF(G1122&lt;TODAY(),"PO TERMINIE",IF(G1122&lt;=TODAY()+14,"DO WYKONANIA","OK")))</f>
        <v/>
      </c>
      <c r="I1122" s="14"/>
      <c r="J1122" s="1" t="str">
        <f>IF(COUNTA(A1122:F3409)=0,"",IF(#REF!="","BRAK PROTOKOŁU","DODANY"))</f>
        <v/>
      </c>
      <c r="K1122" s="1"/>
      <c r="M1122" s="13" t="str" cm="1">
        <f t="array" ref="M1122">IF($A1122="","",IFERROR(TRANSPOSE(_xlfn._xlws.FILTER(Lokale!$C$3:$C$91,Lokale!$B$3:$B$91=$A1122)),""))</f>
        <v/>
      </c>
      <c r="AJ1122" s="13" t="str" cm="1">
        <f t="array" ref="AJ1122">IF($C1122="","",IFERROR(TRANSPOSE(_xlfn._xlws.FILTER(Listy!$D$2:$D$60,Listy!$C$2:$C$60=$C1122)),""))</f>
        <v/>
      </c>
    </row>
    <row r="1123" spans="7:36" ht="25" customHeight="1" x14ac:dyDescent="0.35">
      <c r="G1123" s="15" t="str">
        <f t="shared" si="72"/>
        <v/>
      </c>
      <c r="H1123" s="12" t="str">
        <f t="shared" ca="1" si="73"/>
        <v/>
      </c>
      <c r="I1123" s="14"/>
      <c r="J1123" s="1" t="str">
        <f>IF(COUNTA(A1123:F3410)=0,"",IF(#REF!="","BRAK PROTOKOŁU","DODANY"))</f>
        <v/>
      </c>
      <c r="K1123" s="1"/>
      <c r="M1123" s="13" t="str" cm="1">
        <f t="array" ref="M1123">IF($A1123="","",IFERROR(TRANSPOSE(_xlfn._xlws.FILTER(Lokale!$C$3:$C$91,Lokale!$B$3:$B$91=$A1123)),""))</f>
        <v/>
      </c>
      <c r="AJ1123" s="13" t="str" cm="1">
        <f t="array" ref="AJ1123">IF($C1123="","",IFERROR(TRANSPOSE(_xlfn._xlws.FILTER(Listy!$D$2:$D$60,Listy!$C$2:$C$60=$C1123)),""))</f>
        <v/>
      </c>
    </row>
    <row r="1124" spans="7:36" ht="25" customHeight="1" x14ac:dyDescent="0.35">
      <c r="G1124" s="15" t="str">
        <f t="shared" si="72"/>
        <v/>
      </c>
      <c r="H1124" s="12" t="str">
        <f t="shared" ca="1" si="73"/>
        <v/>
      </c>
      <c r="I1124" s="14"/>
      <c r="J1124" s="1" t="str">
        <f>IF(COUNTA(A1124:F3411)=0,"",IF(#REF!="","BRAK PROTOKOŁU","DODANY"))</f>
        <v/>
      </c>
      <c r="K1124" s="1"/>
      <c r="M1124" s="13" t="str" cm="1">
        <f t="array" ref="M1124">IF($A1124="","",IFERROR(TRANSPOSE(_xlfn._xlws.FILTER(Lokale!$C$3:$C$91,Lokale!$B$3:$B$91=$A1124)),""))</f>
        <v/>
      </c>
      <c r="AJ1124" s="13" t="str" cm="1">
        <f t="array" ref="AJ1124">IF($C1124="","",IFERROR(TRANSPOSE(_xlfn._xlws.FILTER(Listy!$D$2:$D$60,Listy!$C$2:$C$60=$C1124)),""))</f>
        <v/>
      </c>
    </row>
    <row r="1125" spans="7:36" ht="25" customHeight="1" x14ac:dyDescent="0.35">
      <c r="G1125" s="15" t="str">
        <f t="shared" si="72"/>
        <v/>
      </c>
      <c r="H1125" s="12" t="str">
        <f t="shared" ca="1" si="73"/>
        <v/>
      </c>
      <c r="I1125" s="14"/>
      <c r="J1125" s="1" t="str">
        <f>IF(COUNTA(A1125:F3412)=0,"",IF(#REF!="","BRAK PROTOKOŁU","DODANY"))</f>
        <v/>
      </c>
      <c r="K1125" s="1"/>
      <c r="M1125" s="13" t="str" cm="1">
        <f t="array" ref="M1125">IF($A1125="","",IFERROR(TRANSPOSE(_xlfn._xlws.FILTER(Lokale!$C$3:$C$91,Lokale!$B$3:$B$91=$A1125)),""))</f>
        <v/>
      </c>
      <c r="AJ1125" s="13" t="str" cm="1">
        <f t="array" ref="AJ1125">IF($C1125="","",IFERROR(TRANSPOSE(_xlfn._xlws.FILTER(Listy!$D$2:$D$60,Listy!$C$2:$C$60=$C1125)),""))</f>
        <v/>
      </c>
    </row>
    <row r="1126" spans="7:36" ht="25" customHeight="1" x14ac:dyDescent="0.35">
      <c r="G1126" s="15" t="str">
        <f t="shared" si="72"/>
        <v/>
      </c>
      <c r="H1126" s="12" t="str">
        <f t="shared" ca="1" si="73"/>
        <v/>
      </c>
      <c r="I1126" s="14"/>
      <c r="J1126" s="1" t="str">
        <f>IF(COUNTA(A1126:F3413)=0,"",IF(#REF!="","BRAK PROTOKOŁU","DODANY"))</f>
        <v/>
      </c>
      <c r="K1126" s="1"/>
      <c r="M1126" s="13" t="str" cm="1">
        <f t="array" ref="M1126">IF($A1126="","",IFERROR(TRANSPOSE(_xlfn._xlws.FILTER(Lokale!$C$3:$C$91,Lokale!$B$3:$B$91=$A1126)),""))</f>
        <v/>
      </c>
      <c r="AJ1126" s="13" t="str" cm="1">
        <f t="array" ref="AJ1126">IF($C1126="","",IFERROR(TRANSPOSE(_xlfn._xlws.FILTER(Listy!$D$2:$D$60,Listy!$C$2:$C$60=$C1126)),""))</f>
        <v/>
      </c>
    </row>
    <row r="1127" spans="7:36" ht="25" customHeight="1" x14ac:dyDescent="0.35">
      <c r="G1127" s="15" t="str">
        <f t="shared" si="72"/>
        <v/>
      </c>
      <c r="H1127" s="12" t="str">
        <f t="shared" ca="1" si="73"/>
        <v/>
      </c>
      <c r="I1127" s="14"/>
      <c r="J1127" s="1" t="str">
        <f>IF(COUNTA(A1127:F3414)=0,"",IF(#REF!="","BRAK PROTOKOŁU","DODANY"))</f>
        <v/>
      </c>
      <c r="K1127" s="1"/>
      <c r="M1127" s="13" t="str" cm="1">
        <f t="array" ref="M1127">IF($A1127="","",IFERROR(TRANSPOSE(_xlfn._xlws.FILTER(Lokale!$C$3:$C$91,Lokale!$B$3:$B$91=$A1127)),""))</f>
        <v/>
      </c>
      <c r="AJ1127" s="13" t="str" cm="1">
        <f t="array" ref="AJ1127">IF($C1127="","",IFERROR(TRANSPOSE(_xlfn._xlws.FILTER(Listy!$D$2:$D$60,Listy!$C$2:$C$60=$C1127)),""))</f>
        <v/>
      </c>
    </row>
    <row r="1128" spans="7:36" ht="25" customHeight="1" x14ac:dyDescent="0.35">
      <c r="G1128" s="15" t="str">
        <f t="shared" si="72"/>
        <v/>
      </c>
      <c r="H1128" s="12" t="str">
        <f t="shared" ca="1" si="73"/>
        <v/>
      </c>
      <c r="I1128" s="14"/>
      <c r="J1128" s="1" t="str">
        <f>IF(COUNTA(A1128:F3415)=0,"",IF(#REF!="","BRAK PROTOKOŁU","DODANY"))</f>
        <v/>
      </c>
      <c r="K1128" s="1"/>
      <c r="M1128" s="13" t="str" cm="1">
        <f t="array" ref="M1128">IF($A1128="","",IFERROR(TRANSPOSE(_xlfn._xlws.FILTER(Lokale!$C$3:$C$91,Lokale!$B$3:$B$91=$A1128)),""))</f>
        <v/>
      </c>
      <c r="AJ1128" s="13" t="str" cm="1">
        <f t="array" ref="AJ1128">IF($C1128="","",IFERROR(TRANSPOSE(_xlfn._xlws.FILTER(Listy!$D$2:$D$60,Listy!$C$2:$C$60=$C1128)),""))</f>
        <v/>
      </c>
    </row>
    <row r="1129" spans="7:36" ht="25" customHeight="1" x14ac:dyDescent="0.35">
      <c r="G1129" s="15" t="str">
        <f t="shared" si="72"/>
        <v/>
      </c>
      <c r="H1129" s="12" t="str">
        <f t="shared" ca="1" si="73"/>
        <v/>
      </c>
      <c r="I1129" s="14"/>
      <c r="J1129" s="1" t="str">
        <f>IF(COUNTA(A1129:F3416)=0,"",IF(#REF!="","BRAK PROTOKOŁU","DODANY"))</f>
        <v/>
      </c>
      <c r="K1129" s="1"/>
      <c r="M1129" s="13" t="str" cm="1">
        <f t="array" ref="M1129">IF($A1129="","",IFERROR(TRANSPOSE(_xlfn._xlws.FILTER(Lokale!$C$3:$C$91,Lokale!$B$3:$B$91=$A1129)),""))</f>
        <v/>
      </c>
      <c r="AJ1129" s="13" t="str" cm="1">
        <f t="array" ref="AJ1129">IF($C1129="","",IFERROR(TRANSPOSE(_xlfn._xlws.FILTER(Listy!$D$2:$D$60,Listy!$C$2:$C$60=$C1129)),""))</f>
        <v/>
      </c>
    </row>
    <row r="1130" spans="7:36" ht="25" customHeight="1" x14ac:dyDescent="0.35">
      <c r="G1130" s="15" t="str">
        <f t="shared" si="72"/>
        <v/>
      </c>
      <c r="H1130" s="12" t="str">
        <f t="shared" ca="1" si="73"/>
        <v/>
      </c>
      <c r="I1130" s="14"/>
      <c r="J1130" s="1" t="str">
        <f>IF(COUNTA(A1130:F3417)=0,"",IF(#REF!="","BRAK PROTOKOŁU","DODANY"))</f>
        <v/>
      </c>
      <c r="K1130" s="1"/>
      <c r="M1130" s="13" t="str" cm="1">
        <f t="array" ref="M1130">IF($A1130="","",IFERROR(TRANSPOSE(_xlfn._xlws.FILTER(Lokale!$C$3:$C$91,Lokale!$B$3:$B$91=$A1130)),""))</f>
        <v/>
      </c>
      <c r="AJ1130" s="13" t="str" cm="1">
        <f t="array" ref="AJ1130">IF($C1130="","",IFERROR(TRANSPOSE(_xlfn._xlws.FILTER(Listy!$D$2:$D$60,Listy!$C$2:$C$60=$C1130)),""))</f>
        <v/>
      </c>
    </row>
    <row r="1131" spans="7:36" ht="25" customHeight="1" x14ac:dyDescent="0.35">
      <c r="G1131" s="15" t="str">
        <f t="shared" si="72"/>
        <v/>
      </c>
      <c r="H1131" s="12" t="str">
        <f t="shared" ca="1" si="73"/>
        <v/>
      </c>
      <c r="I1131" s="14"/>
      <c r="J1131" s="1" t="str">
        <f>IF(COUNTA(A1131:F3418)=0,"",IF(#REF!="","BRAK PROTOKOŁU","DODANY"))</f>
        <v/>
      </c>
      <c r="K1131" s="1"/>
      <c r="M1131" s="13" t="str" cm="1">
        <f t="array" ref="M1131">IF($A1131="","",IFERROR(TRANSPOSE(_xlfn._xlws.FILTER(Lokale!$C$3:$C$91,Lokale!$B$3:$B$91=$A1131)),""))</f>
        <v/>
      </c>
      <c r="AJ1131" s="13" t="str" cm="1">
        <f t="array" ref="AJ1131">IF($C1131="","",IFERROR(TRANSPOSE(_xlfn._xlws.FILTER(Listy!$D$2:$D$60,Listy!$C$2:$C$60=$C1131)),""))</f>
        <v/>
      </c>
    </row>
    <row r="1132" spans="7:36" ht="25" customHeight="1" x14ac:dyDescent="0.35">
      <c r="G1132" s="15" t="str">
        <f t="shared" si="72"/>
        <v/>
      </c>
      <c r="H1132" s="12" t="str">
        <f t="shared" ca="1" si="73"/>
        <v/>
      </c>
      <c r="I1132" s="14"/>
      <c r="J1132" s="1" t="str">
        <f>IF(COUNTA(A1132:F3419)=0,"",IF(#REF!="","BRAK PROTOKOŁU","DODANY"))</f>
        <v/>
      </c>
      <c r="K1132" s="1"/>
      <c r="M1132" s="13" t="str" cm="1">
        <f t="array" ref="M1132">IF($A1132="","",IFERROR(TRANSPOSE(_xlfn._xlws.FILTER(Lokale!$C$3:$C$91,Lokale!$B$3:$B$91=$A1132)),""))</f>
        <v/>
      </c>
      <c r="AJ1132" s="13" t="str" cm="1">
        <f t="array" ref="AJ1132">IF($C1132="","",IFERROR(TRANSPOSE(_xlfn._xlws.FILTER(Listy!$D$2:$D$60,Listy!$C$2:$C$60=$C1132)),""))</f>
        <v/>
      </c>
    </row>
    <row r="1133" spans="7:36" ht="25" customHeight="1" x14ac:dyDescent="0.35">
      <c r="G1133" s="15" t="str">
        <f t="shared" si="72"/>
        <v/>
      </c>
      <c r="H1133" s="12" t="str">
        <f t="shared" ca="1" si="73"/>
        <v/>
      </c>
      <c r="I1133" s="14"/>
      <c r="J1133" s="1" t="str">
        <f>IF(COUNTA(A1133:F3420)=0,"",IF(#REF!="","BRAK PROTOKOŁU","DODANY"))</f>
        <v/>
      </c>
      <c r="K1133" s="1"/>
      <c r="M1133" s="13" t="str" cm="1">
        <f t="array" ref="M1133">IF($A1133="","",IFERROR(TRANSPOSE(_xlfn._xlws.FILTER(Lokale!$C$3:$C$91,Lokale!$B$3:$B$91=$A1133)),""))</f>
        <v/>
      </c>
      <c r="AJ1133" s="13" t="str" cm="1">
        <f t="array" ref="AJ1133">IF($C1133="","",IFERROR(TRANSPOSE(_xlfn._xlws.FILTER(Listy!$D$2:$D$60,Listy!$C$2:$C$60=$C1133)),""))</f>
        <v/>
      </c>
    </row>
    <row r="1134" spans="7:36" ht="25" customHeight="1" x14ac:dyDescent="0.35">
      <c r="G1134" s="15" t="str">
        <f t="shared" si="72"/>
        <v/>
      </c>
      <c r="H1134" s="12" t="str">
        <f t="shared" ca="1" si="73"/>
        <v/>
      </c>
      <c r="I1134" s="14"/>
      <c r="J1134" s="1" t="str">
        <f>IF(COUNTA(A1134:F3421)=0,"",IF(#REF!="","BRAK PROTOKOŁU","DODANY"))</f>
        <v/>
      </c>
      <c r="K1134" s="1"/>
      <c r="M1134" s="13" t="str" cm="1">
        <f t="array" ref="M1134">IF($A1134="","",IFERROR(TRANSPOSE(_xlfn._xlws.FILTER(Lokale!$C$3:$C$91,Lokale!$B$3:$B$91=$A1134)),""))</f>
        <v/>
      </c>
      <c r="AJ1134" s="13" t="str" cm="1">
        <f t="array" ref="AJ1134">IF($C1134="","",IFERROR(TRANSPOSE(_xlfn._xlws.FILTER(Listy!$D$2:$D$60,Listy!$C$2:$C$60=$C1134)),""))</f>
        <v/>
      </c>
    </row>
    <row r="1135" spans="7:36" ht="25" customHeight="1" x14ac:dyDescent="0.35">
      <c r="G1135" s="15" t="str">
        <f t="shared" si="72"/>
        <v/>
      </c>
      <c r="H1135" s="12" t="str">
        <f t="shared" ca="1" si="73"/>
        <v/>
      </c>
      <c r="I1135" s="14"/>
      <c r="J1135" s="1" t="str">
        <f>IF(COUNTA(A1135:F3422)=0,"",IF(#REF!="","BRAK PROTOKOŁU","DODANY"))</f>
        <v/>
      </c>
      <c r="K1135" s="1"/>
      <c r="M1135" s="13" t="str" cm="1">
        <f t="array" ref="M1135">IF($A1135="","",IFERROR(TRANSPOSE(_xlfn._xlws.FILTER(Lokale!$C$3:$C$91,Lokale!$B$3:$B$91=$A1135)),""))</f>
        <v/>
      </c>
      <c r="AJ1135" s="13" t="str" cm="1">
        <f t="array" ref="AJ1135">IF($C1135="","",IFERROR(TRANSPOSE(_xlfn._xlws.FILTER(Listy!$D$2:$D$60,Listy!$C$2:$C$60=$C1135)),""))</f>
        <v/>
      </c>
    </row>
    <row r="1136" spans="7:36" ht="25" customHeight="1" x14ac:dyDescent="0.35">
      <c r="G1136" s="15" t="str">
        <f t="shared" si="72"/>
        <v/>
      </c>
      <c r="H1136" s="12" t="str">
        <f t="shared" ca="1" si="73"/>
        <v/>
      </c>
      <c r="I1136" s="14"/>
      <c r="J1136" s="1" t="str">
        <f>IF(COUNTA(A1136:F3423)=0,"",IF(#REF!="","BRAK PROTOKOŁU","DODANY"))</f>
        <v/>
      </c>
      <c r="K1136" s="1"/>
      <c r="M1136" s="13" t="str" cm="1">
        <f t="array" ref="M1136">IF($A1136="","",IFERROR(TRANSPOSE(_xlfn._xlws.FILTER(Lokale!$C$3:$C$91,Lokale!$B$3:$B$91=$A1136)),""))</f>
        <v/>
      </c>
      <c r="AJ1136" s="13" t="str" cm="1">
        <f t="array" ref="AJ1136">IF($C1136="","",IFERROR(TRANSPOSE(_xlfn._xlws.FILTER(Listy!$D$2:$D$60,Listy!$C$2:$C$60=$C1136)),""))</f>
        <v/>
      </c>
    </row>
    <row r="1137" spans="7:36" ht="25" customHeight="1" x14ac:dyDescent="0.35">
      <c r="G1137" s="15" t="str">
        <f t="shared" si="72"/>
        <v/>
      </c>
      <c r="H1137" s="12" t="str">
        <f t="shared" ca="1" si="73"/>
        <v/>
      </c>
      <c r="I1137" s="14"/>
      <c r="J1137" s="1" t="str">
        <f>IF(COUNTA(A1137:F3424)=0,"",IF(#REF!="","BRAK PROTOKOŁU","DODANY"))</f>
        <v/>
      </c>
      <c r="K1137" s="1"/>
      <c r="M1137" s="13" t="str" cm="1">
        <f t="array" ref="M1137">IF($A1137="","",IFERROR(TRANSPOSE(_xlfn._xlws.FILTER(Lokale!$C$3:$C$91,Lokale!$B$3:$B$91=$A1137)),""))</f>
        <v/>
      </c>
      <c r="AJ1137" s="13" t="str" cm="1">
        <f t="array" ref="AJ1137">IF($C1137="","",IFERROR(TRANSPOSE(_xlfn._xlws.FILTER(Listy!$D$2:$D$60,Listy!$C$2:$C$60=$C1137)),""))</f>
        <v/>
      </c>
    </row>
    <row r="1138" spans="7:36" ht="25" customHeight="1" x14ac:dyDescent="0.35">
      <c r="G1138" s="15" t="str">
        <f t="shared" si="72"/>
        <v/>
      </c>
      <c r="H1138" s="12" t="str">
        <f t="shared" ca="1" si="73"/>
        <v/>
      </c>
      <c r="I1138" s="14"/>
      <c r="J1138" s="1" t="str">
        <f>IF(COUNTA(A1138:F3425)=0,"",IF(#REF!="","BRAK PROTOKOŁU","DODANY"))</f>
        <v/>
      </c>
      <c r="K1138" s="1"/>
      <c r="M1138" s="13" t="str" cm="1">
        <f t="array" ref="M1138">IF($A1138="","",IFERROR(TRANSPOSE(_xlfn._xlws.FILTER(Lokale!$C$3:$C$91,Lokale!$B$3:$B$91=$A1138)),""))</f>
        <v/>
      </c>
      <c r="AJ1138" s="13" t="str" cm="1">
        <f t="array" ref="AJ1138">IF($C1138="","",IFERROR(TRANSPOSE(_xlfn._xlws.FILTER(Listy!$D$2:$D$60,Listy!$C$2:$C$60=$C1138)),""))</f>
        <v/>
      </c>
    </row>
    <row r="1139" spans="7:36" ht="25" customHeight="1" x14ac:dyDescent="0.35">
      <c r="G1139" s="15" t="str">
        <f t="shared" si="72"/>
        <v/>
      </c>
      <c r="H1139" s="12" t="str">
        <f t="shared" ca="1" si="73"/>
        <v/>
      </c>
      <c r="I1139" s="14"/>
      <c r="J1139" s="1" t="str">
        <f>IF(COUNTA(A1139:F3426)=0,"",IF(#REF!="","BRAK PROTOKOŁU","DODANY"))</f>
        <v/>
      </c>
      <c r="K1139" s="1"/>
      <c r="M1139" s="13" t="str" cm="1">
        <f t="array" ref="M1139">IF($A1139="","",IFERROR(TRANSPOSE(_xlfn._xlws.FILTER(Lokale!$C$3:$C$91,Lokale!$B$3:$B$91=$A1139)),""))</f>
        <v/>
      </c>
      <c r="AJ1139" s="13" t="str" cm="1">
        <f t="array" ref="AJ1139">IF($C1139="","",IFERROR(TRANSPOSE(_xlfn._xlws.FILTER(Listy!$D$2:$D$60,Listy!$C$2:$C$60=$C1139)),""))</f>
        <v/>
      </c>
    </row>
    <row r="1140" spans="7:36" ht="25" customHeight="1" x14ac:dyDescent="0.35">
      <c r="G1140" s="15" t="str">
        <f t="shared" si="72"/>
        <v/>
      </c>
      <c r="H1140" s="12" t="str">
        <f t="shared" ca="1" si="73"/>
        <v/>
      </c>
      <c r="I1140" s="14"/>
      <c r="J1140" s="1" t="str">
        <f>IF(COUNTA(A1140:F3427)=0,"",IF(#REF!="","BRAK PROTOKOŁU","DODANY"))</f>
        <v/>
      </c>
      <c r="K1140" s="1"/>
      <c r="M1140" s="13" t="str" cm="1">
        <f t="array" ref="M1140">IF($A1140="","",IFERROR(TRANSPOSE(_xlfn._xlws.FILTER(Lokale!$C$3:$C$91,Lokale!$B$3:$B$91=$A1140)),""))</f>
        <v/>
      </c>
      <c r="AJ1140" s="13" t="str" cm="1">
        <f t="array" ref="AJ1140">IF($C1140="","",IFERROR(TRANSPOSE(_xlfn._xlws.FILTER(Listy!$D$2:$D$60,Listy!$C$2:$C$60=$C1140)),""))</f>
        <v/>
      </c>
    </row>
    <row r="1141" spans="7:36" ht="25" customHeight="1" x14ac:dyDescent="0.35">
      <c r="G1141" s="15" t="str">
        <f t="shared" si="72"/>
        <v/>
      </c>
      <c r="H1141" s="12" t="str">
        <f t="shared" ca="1" si="73"/>
        <v/>
      </c>
      <c r="I1141" s="14"/>
      <c r="J1141" s="1" t="str">
        <f>IF(COUNTA(A1141:F3428)=0,"",IF(#REF!="","BRAK PROTOKOŁU","DODANY"))</f>
        <v/>
      </c>
      <c r="K1141" s="1"/>
      <c r="M1141" s="13" t="str" cm="1">
        <f t="array" ref="M1141">IF($A1141="","",IFERROR(TRANSPOSE(_xlfn._xlws.FILTER(Lokale!$C$3:$C$91,Lokale!$B$3:$B$91=$A1141)),""))</f>
        <v/>
      </c>
      <c r="AJ1141" s="13" t="str" cm="1">
        <f t="array" ref="AJ1141">IF($C1141="","",IFERROR(TRANSPOSE(_xlfn._xlws.FILTER(Listy!$D$2:$D$60,Listy!$C$2:$C$60=$C1141)),""))</f>
        <v/>
      </c>
    </row>
    <row r="1142" spans="7:36" ht="25" customHeight="1" x14ac:dyDescent="0.35">
      <c r="G1142" s="15" t="str">
        <f t="shared" si="72"/>
        <v/>
      </c>
      <c r="H1142" s="12" t="str">
        <f t="shared" ca="1" si="73"/>
        <v/>
      </c>
      <c r="I1142" s="14"/>
      <c r="J1142" s="1" t="str">
        <f>IF(COUNTA(A1142:F3429)=0,"",IF(#REF!="","BRAK PROTOKOŁU","DODANY"))</f>
        <v/>
      </c>
      <c r="K1142" s="1"/>
      <c r="M1142" s="13" t="str" cm="1">
        <f t="array" ref="M1142">IF($A1142="","",IFERROR(TRANSPOSE(_xlfn._xlws.FILTER(Lokale!$C$3:$C$91,Lokale!$B$3:$B$91=$A1142)),""))</f>
        <v/>
      </c>
      <c r="AJ1142" s="13" t="str" cm="1">
        <f t="array" ref="AJ1142">IF($C1142="","",IFERROR(TRANSPOSE(_xlfn._xlws.FILTER(Listy!$D$2:$D$60,Listy!$C$2:$C$60=$C1142)),""))</f>
        <v/>
      </c>
    </row>
    <row r="1143" spans="7:36" ht="25" customHeight="1" x14ac:dyDescent="0.35">
      <c r="G1143" s="15" t="str">
        <f t="shared" si="72"/>
        <v/>
      </c>
      <c r="H1143" s="12" t="str">
        <f t="shared" ca="1" si="73"/>
        <v/>
      </c>
      <c r="I1143" s="14"/>
      <c r="J1143" s="1" t="str">
        <f>IF(COUNTA(A1143:F3430)=0,"",IF(#REF!="","BRAK PROTOKOŁU","DODANY"))</f>
        <v/>
      </c>
      <c r="K1143" s="1"/>
      <c r="M1143" s="13" t="str" cm="1">
        <f t="array" ref="M1143">IF($A1143="","",IFERROR(TRANSPOSE(_xlfn._xlws.FILTER(Lokale!$C$3:$C$91,Lokale!$B$3:$B$91=$A1143)),""))</f>
        <v/>
      </c>
      <c r="AJ1143" s="13" t="str" cm="1">
        <f t="array" ref="AJ1143">IF($C1143="","",IFERROR(TRANSPOSE(_xlfn._xlws.FILTER(Listy!$D$2:$D$60,Listy!$C$2:$C$60=$C1143)),""))</f>
        <v/>
      </c>
    </row>
    <row r="1144" spans="7:36" ht="25" customHeight="1" x14ac:dyDescent="0.35">
      <c r="G1144" s="15" t="str">
        <f t="shared" si="72"/>
        <v/>
      </c>
      <c r="H1144" s="12" t="str">
        <f t="shared" ca="1" si="73"/>
        <v/>
      </c>
      <c r="I1144" s="14"/>
      <c r="J1144" s="1" t="str">
        <f>IF(COUNTA(A1144:F3431)=0,"",IF(#REF!="","BRAK PROTOKOŁU","DODANY"))</f>
        <v/>
      </c>
      <c r="K1144" s="1"/>
      <c r="M1144" s="13" t="str" cm="1">
        <f t="array" ref="M1144">IF($A1144="","",IFERROR(TRANSPOSE(_xlfn._xlws.FILTER(Lokale!$C$3:$C$91,Lokale!$B$3:$B$91=$A1144)),""))</f>
        <v/>
      </c>
      <c r="AJ1144" s="13" t="str" cm="1">
        <f t="array" ref="AJ1144">IF($C1144="","",IFERROR(TRANSPOSE(_xlfn._xlws.FILTER(Listy!$D$2:$D$60,Listy!$C$2:$C$60=$C1144)),""))</f>
        <v/>
      </c>
    </row>
    <row r="1145" spans="7:36" ht="25" customHeight="1" x14ac:dyDescent="0.35">
      <c r="G1145" s="15" t="str">
        <f t="shared" si="72"/>
        <v/>
      </c>
      <c r="H1145" s="12" t="str">
        <f t="shared" ca="1" si="73"/>
        <v/>
      </c>
      <c r="I1145" s="14"/>
      <c r="J1145" s="1" t="str">
        <f>IF(COUNTA(A1145:F3432)=0,"",IF(#REF!="","BRAK PROTOKOŁU","DODANY"))</f>
        <v/>
      </c>
      <c r="K1145" s="1"/>
      <c r="M1145" s="13" t="str" cm="1">
        <f t="array" ref="M1145">IF($A1145="","",IFERROR(TRANSPOSE(_xlfn._xlws.FILTER(Lokale!$C$3:$C$91,Lokale!$B$3:$B$91=$A1145)),""))</f>
        <v/>
      </c>
      <c r="AJ1145" s="13" t="str" cm="1">
        <f t="array" ref="AJ1145">IF($C1145="","",IFERROR(TRANSPOSE(_xlfn._xlws.FILTER(Listy!$D$2:$D$60,Listy!$C$2:$C$60=$C1145)),""))</f>
        <v/>
      </c>
    </row>
    <row r="1146" spans="7:36" ht="25" customHeight="1" x14ac:dyDescent="0.35">
      <c r="G1146" s="15" t="str">
        <f t="shared" si="72"/>
        <v/>
      </c>
      <c r="H1146" s="12" t="str">
        <f t="shared" ca="1" si="73"/>
        <v/>
      </c>
      <c r="I1146" s="14"/>
      <c r="J1146" s="1" t="str">
        <f>IF(COUNTA(A1146:F3433)=0,"",IF(#REF!="","BRAK PROTOKOŁU","DODANY"))</f>
        <v/>
      </c>
      <c r="K1146" s="1"/>
      <c r="M1146" s="13" t="str" cm="1">
        <f t="array" ref="M1146">IF($A1146="","",IFERROR(TRANSPOSE(_xlfn._xlws.FILTER(Lokale!$C$3:$C$91,Lokale!$B$3:$B$91=$A1146)),""))</f>
        <v/>
      </c>
      <c r="AJ1146" s="13" t="str" cm="1">
        <f t="array" ref="AJ1146">IF($C1146="","",IFERROR(TRANSPOSE(_xlfn._xlws.FILTER(Listy!$D$2:$D$60,Listy!$C$2:$C$60=$C1146)),""))</f>
        <v/>
      </c>
    </row>
    <row r="1147" spans="7:36" ht="25" customHeight="1" x14ac:dyDescent="0.35">
      <c r="G1147" s="15" t="str">
        <f t="shared" si="72"/>
        <v/>
      </c>
      <c r="H1147" s="12" t="str">
        <f t="shared" ca="1" si="73"/>
        <v/>
      </c>
      <c r="I1147" s="14"/>
      <c r="J1147" s="1" t="str">
        <f>IF(COUNTA(A1147:F3434)=0,"",IF(#REF!="","BRAK PROTOKOŁU","DODANY"))</f>
        <v/>
      </c>
      <c r="K1147" s="1"/>
      <c r="M1147" s="13" t="str" cm="1">
        <f t="array" ref="M1147">IF($A1147="","",IFERROR(TRANSPOSE(_xlfn._xlws.FILTER(Lokale!$C$3:$C$91,Lokale!$B$3:$B$91=$A1147)),""))</f>
        <v/>
      </c>
      <c r="AJ1147" s="13" t="str" cm="1">
        <f t="array" ref="AJ1147">IF($C1147="","",IFERROR(TRANSPOSE(_xlfn._xlws.FILTER(Listy!$D$2:$D$60,Listy!$C$2:$C$60=$C1147)),""))</f>
        <v/>
      </c>
    </row>
    <row r="1148" spans="7:36" ht="25" customHeight="1" x14ac:dyDescent="0.35">
      <c r="G1148" s="15" t="str">
        <f t="shared" si="72"/>
        <v/>
      </c>
      <c r="H1148" s="12" t="str">
        <f t="shared" ca="1" si="73"/>
        <v/>
      </c>
      <c r="I1148" s="14"/>
      <c r="J1148" s="1" t="str">
        <f>IF(COUNTA(A1148:F3435)=0,"",IF(#REF!="","BRAK PROTOKOŁU","DODANY"))</f>
        <v/>
      </c>
      <c r="K1148" s="1"/>
      <c r="M1148" s="13" t="str" cm="1">
        <f t="array" ref="M1148">IF($A1148="","",IFERROR(TRANSPOSE(_xlfn._xlws.FILTER(Lokale!$C$3:$C$91,Lokale!$B$3:$B$91=$A1148)),""))</f>
        <v/>
      </c>
      <c r="AJ1148" s="13" t="str" cm="1">
        <f t="array" ref="AJ1148">IF($C1148="","",IFERROR(TRANSPOSE(_xlfn._xlws.FILTER(Listy!$D$2:$D$60,Listy!$C$2:$C$60=$C1148)),""))</f>
        <v/>
      </c>
    </row>
    <row r="1149" spans="7:36" ht="25" customHeight="1" x14ac:dyDescent="0.35">
      <c r="G1149" s="15" t="str">
        <f t="shared" si="72"/>
        <v/>
      </c>
      <c r="H1149" s="12" t="str">
        <f t="shared" ca="1" si="73"/>
        <v/>
      </c>
      <c r="I1149" s="14"/>
      <c r="J1149" s="1" t="str">
        <f>IF(COUNTA(A1149:F3436)=0,"",IF(#REF!="","BRAK PROTOKOŁU","DODANY"))</f>
        <v/>
      </c>
      <c r="K1149" s="1"/>
      <c r="M1149" s="13" t="str" cm="1">
        <f t="array" ref="M1149">IF($A1149="","",IFERROR(TRANSPOSE(_xlfn._xlws.FILTER(Lokale!$C$3:$C$91,Lokale!$B$3:$B$91=$A1149)),""))</f>
        <v/>
      </c>
      <c r="AJ1149" s="13" t="str" cm="1">
        <f t="array" ref="AJ1149">IF($C1149="","",IFERROR(TRANSPOSE(_xlfn._xlws.FILTER(Listy!$D$2:$D$60,Listy!$C$2:$C$60=$C1149)),""))</f>
        <v/>
      </c>
    </row>
    <row r="1150" spans="7:36" ht="25" customHeight="1" x14ac:dyDescent="0.35">
      <c r="G1150" s="15" t="str">
        <f t="shared" si="72"/>
        <v/>
      </c>
      <c r="H1150" s="12" t="str">
        <f t="shared" ca="1" si="73"/>
        <v/>
      </c>
      <c r="I1150" s="14"/>
      <c r="J1150" s="1" t="str">
        <f>IF(COUNTA(A1150:F3437)=0,"",IF(#REF!="","BRAK PROTOKOŁU","DODANY"))</f>
        <v/>
      </c>
      <c r="K1150" s="1"/>
      <c r="M1150" s="13" t="str" cm="1">
        <f t="array" ref="M1150">IF($A1150="","",IFERROR(TRANSPOSE(_xlfn._xlws.FILTER(Lokale!$C$3:$C$91,Lokale!$B$3:$B$91=$A1150)),""))</f>
        <v/>
      </c>
      <c r="AJ1150" s="13" t="str" cm="1">
        <f t="array" ref="AJ1150">IF($C1150="","",IFERROR(TRANSPOSE(_xlfn._xlws.FILTER(Listy!$D$2:$D$60,Listy!$C$2:$C$60=$C1150)),""))</f>
        <v/>
      </c>
    </row>
    <row r="1151" spans="7:36" ht="25" customHeight="1" x14ac:dyDescent="0.35">
      <c r="G1151" s="15" t="str">
        <f t="shared" si="72"/>
        <v/>
      </c>
      <c r="H1151" s="12" t="str">
        <f t="shared" ca="1" si="73"/>
        <v/>
      </c>
      <c r="I1151" s="14"/>
      <c r="J1151" s="1" t="str">
        <f>IF(COUNTA(A1151:F3438)=0,"",IF(#REF!="","BRAK PROTOKOŁU","DODANY"))</f>
        <v/>
      </c>
      <c r="K1151" s="1"/>
      <c r="M1151" s="13" t="str" cm="1">
        <f t="array" ref="M1151">IF($A1151="","",IFERROR(TRANSPOSE(_xlfn._xlws.FILTER(Lokale!$C$3:$C$91,Lokale!$B$3:$B$91=$A1151)),""))</f>
        <v/>
      </c>
      <c r="AJ1151" s="13" t="str" cm="1">
        <f t="array" ref="AJ1151">IF($C1151="","",IFERROR(TRANSPOSE(_xlfn._xlws.FILTER(Listy!$D$2:$D$60,Listy!$C$2:$C$60=$C1151)),""))</f>
        <v/>
      </c>
    </row>
    <row r="1152" spans="7:36" ht="25" customHeight="1" x14ac:dyDescent="0.35">
      <c r="G1152" s="15" t="str">
        <f t="shared" si="72"/>
        <v/>
      </c>
      <c r="H1152" s="12" t="str">
        <f t="shared" ca="1" si="73"/>
        <v/>
      </c>
      <c r="I1152" s="14"/>
      <c r="J1152" s="1" t="str">
        <f>IF(COUNTA(A1152:F3439)=0,"",IF(#REF!="","BRAK PROTOKOŁU","DODANY"))</f>
        <v/>
      </c>
      <c r="K1152" s="1"/>
      <c r="M1152" s="13" t="str" cm="1">
        <f t="array" ref="M1152">IF($A1152="","",IFERROR(TRANSPOSE(_xlfn._xlws.FILTER(Lokale!$C$3:$C$91,Lokale!$B$3:$B$91=$A1152)),""))</f>
        <v/>
      </c>
      <c r="AJ1152" s="13" t="str" cm="1">
        <f t="array" ref="AJ1152">IF($C1152="","",IFERROR(TRANSPOSE(_xlfn._xlws.FILTER(Listy!$D$2:$D$60,Listy!$C$2:$C$60=$C1152)),""))</f>
        <v/>
      </c>
    </row>
    <row r="1153" spans="7:36" ht="25" customHeight="1" x14ac:dyDescent="0.35">
      <c r="G1153" s="15" t="str">
        <f t="shared" si="72"/>
        <v/>
      </c>
      <c r="H1153" s="12" t="str">
        <f t="shared" ca="1" si="73"/>
        <v/>
      </c>
      <c r="I1153" s="14"/>
      <c r="J1153" s="1" t="str">
        <f>IF(COUNTA(A1153:F3440)=0,"",IF(#REF!="","BRAK PROTOKOŁU","DODANY"))</f>
        <v/>
      </c>
      <c r="K1153" s="1"/>
      <c r="M1153" s="13" t="str" cm="1">
        <f t="array" ref="M1153">IF($A1153="","",IFERROR(TRANSPOSE(_xlfn._xlws.FILTER(Lokale!$C$3:$C$91,Lokale!$B$3:$B$91=$A1153)),""))</f>
        <v/>
      </c>
      <c r="AJ1153" s="13" t="str" cm="1">
        <f t="array" ref="AJ1153">IF($C1153="","",IFERROR(TRANSPOSE(_xlfn._xlws.FILTER(Listy!$D$2:$D$60,Listy!$C$2:$C$60=$C1153)),""))</f>
        <v/>
      </c>
    </row>
    <row r="1154" spans="7:36" ht="25" customHeight="1" x14ac:dyDescent="0.35">
      <c r="G1154" s="15" t="str">
        <f t="shared" si="72"/>
        <v/>
      </c>
      <c r="H1154" s="12" t="str">
        <f t="shared" ca="1" si="73"/>
        <v/>
      </c>
      <c r="I1154" s="14"/>
      <c r="J1154" s="1" t="str">
        <f>IF(COUNTA(A1154:F3441)=0,"",IF(#REF!="","BRAK PROTOKOŁU","DODANY"))</f>
        <v/>
      </c>
      <c r="K1154" s="1"/>
      <c r="M1154" s="13" t="str" cm="1">
        <f t="array" ref="M1154">IF($A1154="","",IFERROR(TRANSPOSE(_xlfn._xlws.FILTER(Lokale!$C$3:$C$91,Lokale!$B$3:$B$91=$A1154)),""))</f>
        <v/>
      </c>
      <c r="AJ1154" s="13" t="str" cm="1">
        <f t="array" ref="AJ1154">IF($C1154="","",IFERROR(TRANSPOSE(_xlfn._xlws.FILTER(Listy!$D$2:$D$60,Listy!$C$2:$C$60=$C1154)),""))</f>
        <v/>
      </c>
    </row>
    <row r="1155" spans="7:36" ht="25" customHeight="1" x14ac:dyDescent="0.35">
      <c r="G1155" s="15" t="str">
        <f t="shared" si="72"/>
        <v/>
      </c>
      <c r="H1155" s="12" t="str">
        <f t="shared" ca="1" si="73"/>
        <v/>
      </c>
      <c r="I1155" s="14"/>
      <c r="J1155" s="1" t="str">
        <f>IF(COUNTA(A1155:F3442)=0,"",IF(#REF!="","BRAK PROTOKOŁU","DODANY"))</f>
        <v/>
      </c>
      <c r="K1155" s="1"/>
      <c r="M1155" s="13" t="str" cm="1">
        <f t="array" ref="M1155">IF($A1155="","",IFERROR(TRANSPOSE(_xlfn._xlws.FILTER(Lokale!$C$3:$C$91,Lokale!$B$3:$B$91=$A1155)),""))</f>
        <v/>
      </c>
      <c r="AJ1155" s="13" t="str" cm="1">
        <f t="array" ref="AJ1155">IF($C1155="","",IFERROR(TRANSPOSE(_xlfn._xlws.FILTER(Listy!$D$2:$D$60,Listy!$C$2:$C$60=$C1155)),""))</f>
        <v/>
      </c>
    </row>
    <row r="1156" spans="7:36" ht="25" customHeight="1" x14ac:dyDescent="0.35">
      <c r="G1156" s="15" t="str">
        <f t="shared" si="72"/>
        <v/>
      </c>
      <c r="H1156" s="12" t="str">
        <f t="shared" ca="1" si="73"/>
        <v/>
      </c>
      <c r="I1156" s="14"/>
      <c r="J1156" s="1" t="str">
        <f>IF(COUNTA(A1156:F3443)=0,"",IF(#REF!="","BRAK PROTOKOŁU","DODANY"))</f>
        <v/>
      </c>
      <c r="K1156" s="1"/>
      <c r="M1156" s="13" t="str" cm="1">
        <f t="array" ref="M1156">IF($A1156="","",IFERROR(TRANSPOSE(_xlfn._xlws.FILTER(Lokale!$C$3:$C$91,Lokale!$B$3:$B$91=$A1156)),""))</f>
        <v/>
      </c>
      <c r="AJ1156" s="13" t="str" cm="1">
        <f t="array" ref="AJ1156">IF($C1156="","",IFERROR(TRANSPOSE(_xlfn._xlws.FILTER(Listy!$D$2:$D$60,Listy!$C$2:$C$60=$C1156)),""))</f>
        <v/>
      </c>
    </row>
    <row r="1157" spans="7:36" ht="25" customHeight="1" x14ac:dyDescent="0.35">
      <c r="G1157" s="15" t="str">
        <f t="shared" si="72"/>
        <v/>
      </c>
      <c r="H1157" s="12" t="str">
        <f t="shared" ca="1" si="73"/>
        <v/>
      </c>
      <c r="I1157" s="14"/>
      <c r="J1157" s="1" t="str">
        <f>IF(COUNTA(A1157:F3444)=0,"",IF(#REF!="","BRAK PROTOKOŁU","DODANY"))</f>
        <v/>
      </c>
      <c r="K1157" s="1"/>
      <c r="M1157" s="13" t="str" cm="1">
        <f t="array" ref="M1157">IF($A1157="","",IFERROR(TRANSPOSE(_xlfn._xlws.FILTER(Lokale!$C$3:$C$91,Lokale!$B$3:$B$91=$A1157)),""))</f>
        <v/>
      </c>
      <c r="AJ1157" s="13" t="str" cm="1">
        <f t="array" ref="AJ1157">IF($C1157="","",IFERROR(TRANSPOSE(_xlfn._xlws.FILTER(Listy!$D$2:$D$60,Listy!$C$2:$C$60=$C1157)),""))</f>
        <v/>
      </c>
    </row>
    <row r="1158" spans="7:36" ht="25" customHeight="1" x14ac:dyDescent="0.35">
      <c r="G1158" s="15" t="str">
        <f t="shared" si="72"/>
        <v/>
      </c>
      <c r="H1158" s="12" t="str">
        <f t="shared" ca="1" si="73"/>
        <v/>
      </c>
      <c r="I1158" s="14"/>
      <c r="J1158" s="1" t="str">
        <f>IF(COUNTA(A1158:F3445)=0,"",IF(#REF!="","BRAK PROTOKOŁU","DODANY"))</f>
        <v/>
      </c>
      <c r="K1158" s="1"/>
      <c r="M1158" s="13" t="str" cm="1">
        <f t="array" ref="M1158">IF($A1158="","",IFERROR(TRANSPOSE(_xlfn._xlws.FILTER(Lokale!$C$3:$C$91,Lokale!$B$3:$B$91=$A1158)),""))</f>
        <v/>
      </c>
      <c r="AJ1158" s="13" t="str" cm="1">
        <f t="array" ref="AJ1158">IF($C1158="","",IFERROR(TRANSPOSE(_xlfn._xlws.FILTER(Listy!$D$2:$D$60,Listy!$C$2:$C$60=$C1158)),""))</f>
        <v/>
      </c>
    </row>
    <row r="1159" spans="7:36" ht="25" customHeight="1" x14ac:dyDescent="0.35">
      <c r="G1159" s="15" t="str">
        <f t="shared" si="72"/>
        <v/>
      </c>
      <c r="H1159" s="12" t="str">
        <f t="shared" ca="1" si="73"/>
        <v/>
      </c>
      <c r="I1159" s="14"/>
      <c r="J1159" s="1" t="str">
        <f>IF(COUNTA(A1159:F3446)=0,"",IF(#REF!="","BRAK PROTOKOŁU","DODANY"))</f>
        <v/>
      </c>
      <c r="K1159" s="1"/>
      <c r="M1159" s="13" t="str" cm="1">
        <f t="array" ref="M1159">IF($A1159="","",IFERROR(TRANSPOSE(_xlfn._xlws.FILTER(Lokale!$C$3:$C$91,Lokale!$B$3:$B$91=$A1159)),""))</f>
        <v/>
      </c>
      <c r="AJ1159" s="13" t="str" cm="1">
        <f t="array" ref="AJ1159">IF($C1159="","",IFERROR(TRANSPOSE(_xlfn._xlws.FILTER(Listy!$D$2:$D$60,Listy!$C$2:$C$60=$C1159)),""))</f>
        <v/>
      </c>
    </row>
    <row r="1160" spans="7:36" ht="25" customHeight="1" x14ac:dyDescent="0.35">
      <c r="G1160" s="15" t="str">
        <f t="shared" si="72"/>
        <v/>
      </c>
      <c r="H1160" s="12" t="str">
        <f t="shared" ca="1" si="73"/>
        <v/>
      </c>
      <c r="I1160" s="14"/>
      <c r="J1160" s="1" t="str">
        <f>IF(COUNTA(A1160:F3447)=0,"",IF(#REF!="","BRAK PROTOKOŁU","DODANY"))</f>
        <v/>
      </c>
      <c r="K1160" s="1"/>
      <c r="M1160" s="13" t="str" cm="1">
        <f t="array" ref="M1160">IF($A1160="","",IFERROR(TRANSPOSE(_xlfn._xlws.FILTER(Lokale!$C$3:$C$91,Lokale!$B$3:$B$91=$A1160)),""))</f>
        <v/>
      </c>
      <c r="AJ1160" s="13" t="str" cm="1">
        <f t="array" ref="AJ1160">IF($C1160="","",IFERROR(TRANSPOSE(_xlfn._xlws.FILTER(Listy!$D$2:$D$60,Listy!$C$2:$C$60=$C1160)),""))</f>
        <v/>
      </c>
    </row>
    <row r="1161" spans="7:36" ht="25" customHeight="1" x14ac:dyDescent="0.35">
      <c r="G1161" s="15" t="str">
        <f t="shared" si="72"/>
        <v/>
      </c>
      <c r="H1161" s="12" t="str">
        <f t="shared" ca="1" si="73"/>
        <v/>
      </c>
      <c r="I1161" s="14"/>
      <c r="J1161" s="1" t="str">
        <f>IF(COUNTA(A1161:F3448)=0,"",IF(#REF!="","BRAK PROTOKOŁU","DODANY"))</f>
        <v/>
      </c>
      <c r="K1161" s="1"/>
      <c r="M1161" s="13" t="str" cm="1">
        <f t="array" ref="M1161">IF($A1161="","",IFERROR(TRANSPOSE(_xlfn._xlws.FILTER(Lokale!$C$3:$C$91,Lokale!$B$3:$B$91=$A1161)),""))</f>
        <v/>
      </c>
      <c r="AJ1161" s="13" t="str" cm="1">
        <f t="array" ref="AJ1161">IF($C1161="","",IFERROR(TRANSPOSE(_xlfn._xlws.FILTER(Listy!$D$2:$D$60,Listy!$C$2:$C$60=$C1161)),""))</f>
        <v/>
      </c>
    </row>
    <row r="1162" spans="7:36" ht="25" customHeight="1" x14ac:dyDescent="0.35">
      <c r="G1162" s="15" t="str">
        <f t="shared" si="72"/>
        <v/>
      </c>
      <c r="H1162" s="12" t="str">
        <f t="shared" ca="1" si="73"/>
        <v/>
      </c>
      <c r="I1162" s="14"/>
      <c r="J1162" s="1" t="str">
        <f>IF(COUNTA(A1162:F3449)=0,"",IF(#REF!="","BRAK PROTOKOŁU","DODANY"))</f>
        <v/>
      </c>
      <c r="K1162" s="1"/>
      <c r="M1162" s="13" t="str" cm="1">
        <f t="array" ref="M1162">IF($A1162="","",IFERROR(TRANSPOSE(_xlfn._xlws.FILTER(Lokale!$C$3:$C$91,Lokale!$B$3:$B$91=$A1162)),""))</f>
        <v/>
      </c>
      <c r="AJ1162" s="13" t="str" cm="1">
        <f t="array" ref="AJ1162">IF($C1162="","",IFERROR(TRANSPOSE(_xlfn._xlws.FILTER(Listy!$D$2:$D$60,Listy!$C$2:$C$60=$C1162)),""))</f>
        <v/>
      </c>
    </row>
    <row r="1163" spans="7:36" ht="25" customHeight="1" x14ac:dyDescent="0.35">
      <c r="G1163" s="15" t="str">
        <f t="shared" si="72"/>
        <v/>
      </c>
      <c r="H1163" s="12" t="str">
        <f t="shared" ca="1" si="73"/>
        <v/>
      </c>
      <c r="I1163" s="14"/>
      <c r="J1163" s="1" t="str">
        <f>IF(COUNTA(A1163:F3450)=0,"",IF(#REF!="","BRAK PROTOKOŁU","DODANY"))</f>
        <v/>
      </c>
      <c r="K1163" s="1"/>
      <c r="M1163" s="13" t="str" cm="1">
        <f t="array" ref="M1163">IF($A1163="","",IFERROR(TRANSPOSE(_xlfn._xlws.FILTER(Lokale!$C$3:$C$91,Lokale!$B$3:$B$91=$A1163)),""))</f>
        <v/>
      </c>
      <c r="AJ1163" s="13" t="str" cm="1">
        <f t="array" ref="AJ1163">IF($C1163="","",IFERROR(TRANSPOSE(_xlfn._xlws.FILTER(Listy!$D$2:$D$60,Listy!$C$2:$C$60=$C1163)),""))</f>
        <v/>
      </c>
    </row>
    <row r="1164" spans="7:36" ht="25" customHeight="1" x14ac:dyDescent="0.35">
      <c r="G1164" s="15" t="str">
        <f t="shared" si="72"/>
        <v/>
      </c>
      <c r="H1164" s="12" t="str">
        <f t="shared" ca="1" si="73"/>
        <v/>
      </c>
      <c r="I1164" s="14"/>
      <c r="J1164" s="1" t="str">
        <f>IF(COUNTA(A1164:F3451)=0,"",IF(#REF!="","BRAK PROTOKOŁU","DODANY"))</f>
        <v/>
      </c>
      <c r="K1164" s="1"/>
      <c r="M1164" s="13" t="str" cm="1">
        <f t="array" ref="M1164">IF($A1164="","",IFERROR(TRANSPOSE(_xlfn._xlws.FILTER(Lokale!$C$3:$C$91,Lokale!$B$3:$B$91=$A1164)),""))</f>
        <v/>
      </c>
      <c r="AJ1164" s="13" t="str" cm="1">
        <f t="array" ref="AJ1164">IF($C1164="","",IFERROR(TRANSPOSE(_xlfn._xlws.FILTER(Listy!$D$2:$D$60,Listy!$C$2:$C$60=$C1164)),""))</f>
        <v/>
      </c>
    </row>
    <row r="1165" spans="7:36" ht="25" customHeight="1" x14ac:dyDescent="0.35">
      <c r="G1165" s="15" t="str">
        <f t="shared" si="72"/>
        <v/>
      </c>
      <c r="H1165" s="12" t="str">
        <f t="shared" ca="1" si="73"/>
        <v/>
      </c>
      <c r="I1165" s="14"/>
      <c r="J1165" s="1" t="str">
        <f>IF(COUNTA(A1165:F3452)=0,"",IF(#REF!="","BRAK PROTOKOŁU","DODANY"))</f>
        <v/>
      </c>
      <c r="K1165" s="1"/>
      <c r="M1165" s="13" t="str" cm="1">
        <f t="array" ref="M1165">IF($A1165="","",IFERROR(TRANSPOSE(_xlfn._xlws.FILTER(Lokale!$C$3:$C$91,Lokale!$B$3:$B$91=$A1165)),""))</f>
        <v/>
      </c>
      <c r="AJ1165" s="13" t="str" cm="1">
        <f t="array" ref="AJ1165">IF($C1165="","",IFERROR(TRANSPOSE(_xlfn._xlws.FILTER(Listy!$D$2:$D$60,Listy!$C$2:$C$60=$C1165)),""))</f>
        <v/>
      </c>
    </row>
    <row r="1166" spans="7:36" ht="25" customHeight="1" x14ac:dyDescent="0.35">
      <c r="G1166" s="15" t="str">
        <f t="shared" si="72"/>
        <v/>
      </c>
      <c r="H1166" s="12" t="str">
        <f t="shared" ca="1" si="73"/>
        <v/>
      </c>
      <c r="I1166" s="14"/>
      <c r="J1166" s="1" t="str">
        <f>IF(COUNTA(A1166:F3453)=0,"",IF(#REF!="","BRAK PROTOKOŁU","DODANY"))</f>
        <v/>
      </c>
      <c r="K1166" s="1"/>
      <c r="M1166" s="13" t="str" cm="1">
        <f t="array" ref="M1166">IF($A1166="","",IFERROR(TRANSPOSE(_xlfn._xlws.FILTER(Lokale!$C$3:$C$91,Lokale!$B$3:$B$91=$A1166)),""))</f>
        <v/>
      </c>
      <c r="AJ1166" s="13" t="str" cm="1">
        <f t="array" ref="AJ1166">IF($C1166="","",IFERROR(TRANSPOSE(_xlfn._xlws.FILTER(Listy!$D$2:$D$60,Listy!$C$2:$C$60=$C1166)),""))</f>
        <v/>
      </c>
    </row>
    <row r="1167" spans="7:36" ht="25" customHeight="1" x14ac:dyDescent="0.35">
      <c r="G1167" s="15" t="str">
        <f t="shared" si="72"/>
        <v/>
      </c>
      <c r="H1167" s="12" t="str">
        <f t="shared" ca="1" si="73"/>
        <v/>
      </c>
      <c r="I1167" s="14"/>
      <c r="J1167" s="1" t="str">
        <f>IF(COUNTA(A1167:F3454)=0,"",IF(#REF!="","BRAK PROTOKOŁU","DODANY"))</f>
        <v/>
      </c>
      <c r="K1167" s="1"/>
      <c r="M1167" s="13" t="str" cm="1">
        <f t="array" ref="M1167">IF($A1167="","",IFERROR(TRANSPOSE(_xlfn._xlws.FILTER(Lokale!$C$3:$C$91,Lokale!$B$3:$B$91=$A1167)),""))</f>
        <v/>
      </c>
      <c r="AJ1167" s="13" t="str" cm="1">
        <f t="array" ref="AJ1167">IF($C1167="","",IFERROR(TRANSPOSE(_xlfn._xlws.FILTER(Listy!$D$2:$D$60,Listy!$C$2:$C$60=$C1167)),""))</f>
        <v/>
      </c>
    </row>
    <row r="1168" spans="7:36" ht="25" customHeight="1" x14ac:dyDescent="0.35">
      <c r="G1168" s="15" t="str">
        <f t="shared" si="72"/>
        <v/>
      </c>
      <c r="H1168" s="12" t="str">
        <f t="shared" ca="1" si="73"/>
        <v/>
      </c>
      <c r="I1168" s="14"/>
      <c r="J1168" s="1" t="str">
        <f>IF(COUNTA(A1168:F3455)=0,"",IF(#REF!="","BRAK PROTOKOŁU","DODANY"))</f>
        <v/>
      </c>
      <c r="K1168" s="1"/>
      <c r="M1168" s="13" t="str" cm="1">
        <f t="array" ref="M1168">IF($A1168="","",IFERROR(TRANSPOSE(_xlfn._xlws.FILTER(Lokale!$C$3:$C$91,Lokale!$B$3:$B$91=$A1168)),""))</f>
        <v/>
      </c>
      <c r="AJ1168" s="13" t="str" cm="1">
        <f t="array" ref="AJ1168">IF($C1168="","",IFERROR(TRANSPOSE(_xlfn._xlws.FILTER(Listy!$D$2:$D$60,Listy!$C$2:$C$60=$C1168)),""))</f>
        <v/>
      </c>
    </row>
    <row r="1169" spans="7:36" ht="25" customHeight="1" x14ac:dyDescent="0.35">
      <c r="G1169" s="15" t="str">
        <f t="shared" si="72"/>
        <v/>
      </c>
      <c r="H1169" s="12" t="str">
        <f t="shared" ca="1" si="73"/>
        <v/>
      </c>
      <c r="I1169" s="14"/>
      <c r="J1169" s="1" t="str">
        <f>IF(COUNTA(A1169:F3456)=0,"",IF(#REF!="","BRAK PROTOKOŁU","DODANY"))</f>
        <v/>
      </c>
      <c r="K1169" s="1"/>
      <c r="M1169" s="13" t="str" cm="1">
        <f t="array" ref="M1169">IF($A1169="","",IFERROR(TRANSPOSE(_xlfn._xlws.FILTER(Lokale!$C$3:$C$91,Lokale!$B$3:$B$91=$A1169)),""))</f>
        <v/>
      </c>
      <c r="AJ1169" s="13" t="str" cm="1">
        <f t="array" ref="AJ1169">IF($C1169="","",IFERROR(TRANSPOSE(_xlfn._xlws.FILTER(Listy!$D$2:$D$60,Listy!$C$2:$C$60=$C1169)),""))</f>
        <v/>
      </c>
    </row>
    <row r="1170" spans="7:36" ht="25" customHeight="1" x14ac:dyDescent="0.35">
      <c r="G1170" s="15" t="str">
        <f t="shared" si="72"/>
        <v/>
      </c>
      <c r="H1170" s="12" t="str">
        <f t="shared" ca="1" si="73"/>
        <v/>
      </c>
      <c r="I1170" s="14"/>
      <c r="J1170" s="1" t="str">
        <f>IF(COUNTA(A1170:F3457)=0,"",IF(#REF!="","BRAK PROTOKOŁU","DODANY"))</f>
        <v/>
      </c>
      <c r="K1170" s="1"/>
      <c r="M1170" s="13" t="str" cm="1">
        <f t="array" ref="M1170">IF($A1170="","",IFERROR(TRANSPOSE(_xlfn._xlws.FILTER(Lokale!$C$3:$C$91,Lokale!$B$3:$B$91=$A1170)),""))</f>
        <v/>
      </c>
      <c r="AJ1170" s="13" t="str" cm="1">
        <f t="array" ref="AJ1170">IF($C1170="","",IFERROR(TRANSPOSE(_xlfn._xlws.FILTER(Listy!$D$2:$D$60,Listy!$C$2:$C$60=$C1170)),""))</f>
        <v/>
      </c>
    </row>
    <row r="1171" spans="7:36" ht="25" customHeight="1" x14ac:dyDescent="0.35">
      <c r="G1171" s="15" t="str">
        <f t="shared" si="72"/>
        <v/>
      </c>
      <c r="H1171" s="12" t="str">
        <f t="shared" ca="1" si="73"/>
        <v/>
      </c>
      <c r="I1171" s="14"/>
      <c r="J1171" s="1" t="str">
        <f>IF(COUNTA(A1171:F3458)=0,"",IF(#REF!="","BRAK PROTOKOŁU","DODANY"))</f>
        <v/>
      </c>
      <c r="K1171" s="1"/>
      <c r="M1171" s="13" t="str" cm="1">
        <f t="array" ref="M1171">IF($A1171="","",IFERROR(TRANSPOSE(_xlfn._xlws.FILTER(Lokale!$C$3:$C$91,Lokale!$B$3:$B$91=$A1171)),""))</f>
        <v/>
      </c>
      <c r="AJ1171" s="13" t="str" cm="1">
        <f t="array" ref="AJ1171">IF($C1171="","",IFERROR(TRANSPOSE(_xlfn._xlws.FILTER(Listy!$D$2:$D$60,Listy!$C$2:$C$60=$C1171)),""))</f>
        <v/>
      </c>
    </row>
    <row r="1172" spans="7:36" ht="25" customHeight="1" x14ac:dyDescent="0.35">
      <c r="G1172" s="15" t="str">
        <f t="shared" si="72"/>
        <v/>
      </c>
      <c r="H1172" s="12" t="str">
        <f t="shared" ca="1" si="73"/>
        <v/>
      </c>
      <c r="I1172" s="14"/>
      <c r="J1172" s="1" t="str">
        <f>IF(COUNTA(A1172:F3459)=0,"",IF(#REF!="","BRAK PROTOKOŁU","DODANY"))</f>
        <v/>
      </c>
      <c r="K1172" s="1"/>
      <c r="M1172" s="13" t="str" cm="1">
        <f t="array" ref="M1172">IF($A1172="","",IFERROR(TRANSPOSE(_xlfn._xlws.FILTER(Lokale!$C$3:$C$91,Lokale!$B$3:$B$91=$A1172)),""))</f>
        <v/>
      </c>
      <c r="AJ1172" s="13" t="str" cm="1">
        <f t="array" ref="AJ1172">IF($C1172="","",IFERROR(TRANSPOSE(_xlfn._xlws.FILTER(Listy!$D$2:$D$60,Listy!$C$2:$C$60=$C1172)),""))</f>
        <v/>
      </c>
    </row>
    <row r="1173" spans="7:36" ht="25" customHeight="1" x14ac:dyDescent="0.35">
      <c r="G1173" s="15" t="str">
        <f t="shared" si="72"/>
        <v/>
      </c>
      <c r="H1173" s="12" t="str">
        <f t="shared" ca="1" si="73"/>
        <v/>
      </c>
      <c r="I1173" s="14"/>
      <c r="J1173" s="1" t="str">
        <f>IF(COUNTA(A1173:F3460)=0,"",IF(#REF!="","BRAK PROTOKOŁU","DODANY"))</f>
        <v/>
      </c>
      <c r="K1173" s="1"/>
      <c r="M1173" s="13" t="str" cm="1">
        <f t="array" ref="M1173">IF($A1173="","",IFERROR(TRANSPOSE(_xlfn._xlws.FILTER(Lokale!$C$3:$C$91,Lokale!$B$3:$B$91=$A1173)),""))</f>
        <v/>
      </c>
      <c r="AJ1173" s="13" t="str" cm="1">
        <f t="array" ref="AJ1173">IF($C1173="","",IFERROR(TRANSPOSE(_xlfn._xlws.FILTER(Listy!$D$2:$D$60,Listy!$C$2:$C$60=$C1173)),""))</f>
        <v/>
      </c>
    </row>
    <row r="1174" spans="7:36" ht="25" customHeight="1" x14ac:dyDescent="0.35">
      <c r="G1174" s="15" t="str">
        <f t="shared" si="72"/>
        <v/>
      </c>
      <c r="H1174" s="12" t="str">
        <f t="shared" ca="1" si="73"/>
        <v/>
      </c>
      <c r="I1174" s="14"/>
      <c r="J1174" s="1" t="str">
        <f>IF(COUNTA(A1174:F3461)=0,"",IF(#REF!="","BRAK PROTOKOŁU","DODANY"))</f>
        <v/>
      </c>
      <c r="K1174" s="1"/>
      <c r="M1174" s="13" t="str" cm="1">
        <f t="array" ref="M1174">IF($A1174="","",IFERROR(TRANSPOSE(_xlfn._xlws.FILTER(Lokale!$C$3:$C$91,Lokale!$B$3:$B$91=$A1174)),""))</f>
        <v/>
      </c>
      <c r="AJ1174" s="13" t="str" cm="1">
        <f t="array" ref="AJ1174">IF($C1174="","",IFERROR(TRANSPOSE(_xlfn._xlws.FILTER(Listy!$D$2:$D$60,Listy!$C$2:$C$60=$C1174)),""))</f>
        <v/>
      </c>
    </row>
    <row r="1175" spans="7:36" ht="25" customHeight="1" x14ac:dyDescent="0.35">
      <c r="G1175" s="15" t="str">
        <f t="shared" si="72"/>
        <v/>
      </c>
      <c r="H1175" s="12" t="str">
        <f t="shared" ca="1" si="73"/>
        <v/>
      </c>
      <c r="I1175" s="14"/>
      <c r="J1175" s="1" t="str">
        <f>IF(COUNTA(A1175:F3462)=0,"",IF(#REF!="","BRAK PROTOKOŁU","DODANY"))</f>
        <v/>
      </c>
      <c r="K1175" s="1"/>
      <c r="M1175" s="13" t="str" cm="1">
        <f t="array" ref="M1175">IF($A1175="","",IFERROR(TRANSPOSE(_xlfn._xlws.FILTER(Lokale!$C$3:$C$91,Lokale!$B$3:$B$91=$A1175)),""))</f>
        <v/>
      </c>
      <c r="AJ1175" s="13" t="str" cm="1">
        <f t="array" ref="AJ1175">IF($C1175="","",IFERROR(TRANSPOSE(_xlfn._xlws.FILTER(Listy!$D$2:$D$60,Listy!$C$2:$C$60=$C1175)),""))</f>
        <v/>
      </c>
    </row>
    <row r="1176" spans="7:36" ht="25" customHeight="1" x14ac:dyDescent="0.35">
      <c r="G1176" s="15" t="str">
        <f t="shared" si="72"/>
        <v/>
      </c>
      <c r="H1176" s="12" t="str">
        <f t="shared" ca="1" si="73"/>
        <v/>
      </c>
      <c r="I1176" s="14"/>
      <c r="J1176" s="1" t="str">
        <f>IF(COUNTA(A1176:F3463)=0,"",IF(#REF!="","BRAK PROTOKOŁU","DODANY"))</f>
        <v/>
      </c>
      <c r="K1176" s="1"/>
      <c r="M1176" s="13" t="str" cm="1">
        <f t="array" ref="M1176">IF($A1176="","",IFERROR(TRANSPOSE(_xlfn._xlws.FILTER(Lokale!$C$3:$C$91,Lokale!$B$3:$B$91=$A1176)),""))</f>
        <v/>
      </c>
      <c r="AJ1176" s="13" t="str" cm="1">
        <f t="array" ref="AJ1176">IF($C1176="","",IFERROR(TRANSPOSE(_xlfn._xlws.FILTER(Listy!$D$2:$D$60,Listy!$C$2:$C$60=$C1176)),""))</f>
        <v/>
      </c>
    </row>
    <row r="1177" spans="7:36" ht="25" customHeight="1" x14ac:dyDescent="0.35">
      <c r="G1177" s="15" t="str">
        <f t="shared" si="72"/>
        <v/>
      </c>
      <c r="H1177" s="12" t="str">
        <f t="shared" ca="1" si="73"/>
        <v/>
      </c>
      <c r="I1177" s="14"/>
      <c r="J1177" s="1" t="str">
        <f>IF(COUNTA(A1177:F3464)=0,"",IF(#REF!="","BRAK PROTOKOŁU","DODANY"))</f>
        <v/>
      </c>
      <c r="K1177" s="1"/>
      <c r="M1177" s="13" t="str" cm="1">
        <f t="array" ref="M1177">IF($A1177="","",IFERROR(TRANSPOSE(_xlfn._xlws.FILTER(Lokale!$C$3:$C$91,Lokale!$B$3:$B$91=$A1177)),""))</f>
        <v/>
      </c>
      <c r="AJ1177" s="13" t="str" cm="1">
        <f t="array" ref="AJ1177">IF($C1177="","",IFERROR(TRANSPOSE(_xlfn._xlws.FILTER(Listy!$D$2:$D$60,Listy!$C$2:$C$60=$C1177)),""))</f>
        <v/>
      </c>
    </row>
    <row r="1178" spans="7:36" ht="25" customHeight="1" x14ac:dyDescent="0.35">
      <c r="G1178" s="15" t="str">
        <f t="shared" si="72"/>
        <v/>
      </c>
      <c r="H1178" s="12" t="str">
        <f t="shared" ca="1" si="73"/>
        <v/>
      </c>
      <c r="I1178" s="14"/>
      <c r="J1178" s="1" t="str">
        <f>IF(COUNTA(A1178:F3465)=0,"",IF(#REF!="","BRAK PROTOKOŁU","DODANY"))</f>
        <v/>
      </c>
      <c r="K1178" s="1"/>
      <c r="M1178" s="13" t="str" cm="1">
        <f t="array" ref="M1178">IF($A1178="","",IFERROR(TRANSPOSE(_xlfn._xlws.FILTER(Lokale!$C$3:$C$91,Lokale!$B$3:$B$91=$A1178)),""))</f>
        <v/>
      </c>
      <c r="AJ1178" s="13" t="str" cm="1">
        <f t="array" ref="AJ1178">IF($C1178="","",IFERROR(TRANSPOSE(_xlfn._xlws.FILTER(Listy!$D$2:$D$60,Listy!$C$2:$C$60=$C1178)),""))</f>
        <v/>
      </c>
    </row>
    <row r="1179" spans="7:36" ht="25" customHeight="1" x14ac:dyDescent="0.35">
      <c r="G1179" s="15" t="str">
        <f t="shared" si="72"/>
        <v/>
      </c>
      <c r="H1179" s="12" t="str">
        <f t="shared" ca="1" si="73"/>
        <v/>
      </c>
      <c r="I1179" s="14"/>
      <c r="J1179" s="1" t="str">
        <f>IF(COUNTA(A1179:F3466)=0,"",IF(#REF!="","BRAK PROTOKOŁU","DODANY"))</f>
        <v/>
      </c>
      <c r="K1179" s="1"/>
      <c r="M1179" s="13" t="str" cm="1">
        <f t="array" ref="M1179">IF($A1179="","",IFERROR(TRANSPOSE(_xlfn._xlws.FILTER(Lokale!$C$3:$C$91,Lokale!$B$3:$B$91=$A1179)),""))</f>
        <v/>
      </c>
      <c r="AJ1179" s="13" t="str" cm="1">
        <f t="array" ref="AJ1179">IF($C1179="","",IFERROR(TRANSPOSE(_xlfn._xlws.FILTER(Listy!$D$2:$D$60,Listy!$C$2:$C$60=$C1179)),""))</f>
        <v/>
      </c>
    </row>
    <row r="1180" spans="7:36" ht="25" customHeight="1" x14ac:dyDescent="0.35">
      <c r="G1180" s="15" t="str">
        <f t="shared" si="72"/>
        <v/>
      </c>
      <c r="H1180" s="12" t="str">
        <f t="shared" ca="1" si="73"/>
        <v/>
      </c>
      <c r="I1180" s="14"/>
      <c r="J1180" s="1" t="str">
        <f>IF(COUNTA(A1180:F3467)=0,"",IF(#REF!="","BRAK PROTOKOŁU","DODANY"))</f>
        <v/>
      </c>
      <c r="K1180" s="1"/>
      <c r="M1180" s="13" t="str" cm="1">
        <f t="array" ref="M1180">IF($A1180="","",IFERROR(TRANSPOSE(_xlfn._xlws.FILTER(Lokale!$C$3:$C$91,Lokale!$B$3:$B$91=$A1180)),""))</f>
        <v/>
      </c>
      <c r="AJ1180" s="13" t="str" cm="1">
        <f t="array" ref="AJ1180">IF($C1180="","",IFERROR(TRANSPOSE(_xlfn._xlws.FILTER(Listy!$D$2:$D$60,Listy!$C$2:$C$60=$C1180)),""))</f>
        <v/>
      </c>
    </row>
    <row r="1181" spans="7:36" ht="25" customHeight="1" x14ac:dyDescent="0.35">
      <c r="G1181" s="15" t="str">
        <f t="shared" si="72"/>
        <v/>
      </c>
      <c r="H1181" s="12" t="str">
        <f t="shared" ca="1" si="73"/>
        <v/>
      </c>
      <c r="I1181" s="14"/>
      <c r="J1181" s="1" t="str">
        <f>IF(COUNTA(A1181:F3468)=0,"",IF(#REF!="","BRAK PROTOKOŁU","DODANY"))</f>
        <v/>
      </c>
      <c r="K1181" s="1"/>
      <c r="M1181" s="13" t="str" cm="1">
        <f t="array" ref="M1181">IF($A1181="","",IFERROR(TRANSPOSE(_xlfn._xlws.FILTER(Lokale!$C$3:$C$91,Lokale!$B$3:$B$91=$A1181)),""))</f>
        <v/>
      </c>
      <c r="AJ1181" s="13" t="str" cm="1">
        <f t="array" ref="AJ1181">IF($C1181="","",IFERROR(TRANSPOSE(_xlfn._xlws.FILTER(Listy!$D$2:$D$60,Listy!$C$2:$C$60=$C1181)),""))</f>
        <v/>
      </c>
    </row>
    <row r="1182" spans="7:36" ht="25" customHeight="1" x14ac:dyDescent="0.35">
      <c r="G1182" s="15" t="str">
        <f t="shared" si="72"/>
        <v/>
      </c>
      <c r="H1182" s="12" t="str">
        <f t="shared" ca="1" si="73"/>
        <v/>
      </c>
      <c r="I1182" s="14"/>
      <c r="J1182" s="1" t="str">
        <f>IF(COUNTA(A1182:F3469)=0,"",IF(#REF!="","BRAK PROTOKOŁU","DODANY"))</f>
        <v/>
      </c>
      <c r="K1182" s="1"/>
      <c r="M1182" s="13" t="str" cm="1">
        <f t="array" ref="M1182">IF($A1182="","",IFERROR(TRANSPOSE(_xlfn._xlws.FILTER(Lokale!$C$3:$C$91,Lokale!$B$3:$B$91=$A1182)),""))</f>
        <v/>
      </c>
      <c r="AJ1182" s="13" t="str" cm="1">
        <f t="array" ref="AJ1182">IF($C1182="","",IFERROR(TRANSPOSE(_xlfn._xlws.FILTER(Listy!$D$2:$D$60,Listy!$C$2:$C$60=$C1182)),""))</f>
        <v/>
      </c>
    </row>
    <row r="1183" spans="7:36" ht="25" customHeight="1" x14ac:dyDescent="0.35">
      <c r="G1183" s="15" t="str">
        <f t="shared" si="72"/>
        <v/>
      </c>
      <c r="H1183" s="12" t="str">
        <f t="shared" ca="1" si="73"/>
        <v/>
      </c>
      <c r="I1183" s="14"/>
      <c r="J1183" s="1" t="str">
        <f>IF(COUNTA(A1183:F3470)=0,"",IF(#REF!="","BRAK PROTOKOŁU","DODANY"))</f>
        <v/>
      </c>
      <c r="K1183" s="1"/>
      <c r="M1183" s="13" t="str" cm="1">
        <f t="array" ref="M1183">IF($A1183="","",IFERROR(TRANSPOSE(_xlfn._xlws.FILTER(Lokale!$C$3:$C$91,Lokale!$B$3:$B$91=$A1183)),""))</f>
        <v/>
      </c>
      <c r="AJ1183" s="13" t="str" cm="1">
        <f t="array" ref="AJ1183">IF($C1183="","",IFERROR(TRANSPOSE(_xlfn._xlws.FILTER(Listy!$D$2:$D$60,Listy!$C$2:$C$60=$C1183)),""))</f>
        <v/>
      </c>
    </row>
    <row r="1184" spans="7:36" ht="25" customHeight="1" x14ac:dyDescent="0.35">
      <c r="G1184" s="15" t="str">
        <f t="shared" si="72"/>
        <v/>
      </c>
      <c r="H1184" s="12" t="str">
        <f t="shared" ca="1" si="73"/>
        <v/>
      </c>
      <c r="I1184" s="14"/>
      <c r="J1184" s="1" t="str">
        <f>IF(COUNTA(A1184:F3471)=0,"",IF(#REF!="","BRAK PROTOKOŁU","DODANY"))</f>
        <v/>
      </c>
      <c r="K1184" s="1"/>
      <c r="M1184" s="13" t="str" cm="1">
        <f t="array" ref="M1184">IF($A1184="","",IFERROR(TRANSPOSE(_xlfn._xlws.FILTER(Lokale!$C$3:$C$91,Lokale!$B$3:$B$91=$A1184)),""))</f>
        <v/>
      </c>
      <c r="AJ1184" s="13" t="str" cm="1">
        <f t="array" ref="AJ1184">IF($C1184="","",IFERROR(TRANSPOSE(_xlfn._xlws.FILTER(Listy!$D$2:$D$60,Listy!$C$2:$C$60=$C1184)),""))</f>
        <v/>
      </c>
    </row>
    <row r="1185" spans="7:36" ht="25" customHeight="1" x14ac:dyDescent="0.35">
      <c r="G1185" s="15" t="str">
        <f t="shared" si="72"/>
        <v/>
      </c>
      <c r="H1185" s="12" t="str">
        <f t="shared" ca="1" si="73"/>
        <v/>
      </c>
      <c r="I1185" s="14"/>
      <c r="J1185" s="1" t="str">
        <f>IF(COUNTA(A1185:F3472)=0,"",IF(#REF!="","BRAK PROTOKOŁU","DODANY"))</f>
        <v/>
      </c>
      <c r="K1185" s="1"/>
      <c r="M1185" s="13" t="str" cm="1">
        <f t="array" ref="M1185">IF($A1185="","",IFERROR(TRANSPOSE(_xlfn._xlws.FILTER(Lokale!$C$3:$C$91,Lokale!$B$3:$B$91=$A1185)),""))</f>
        <v/>
      </c>
      <c r="AJ1185" s="13" t="str" cm="1">
        <f t="array" ref="AJ1185">IF($C1185="","",IFERROR(TRANSPOSE(_xlfn._xlws.FILTER(Listy!$D$2:$D$60,Listy!$C$2:$C$60=$C1185)),""))</f>
        <v/>
      </c>
    </row>
    <row r="1186" spans="7:36" ht="25" customHeight="1" x14ac:dyDescent="0.35">
      <c r="G1186" s="15" t="str">
        <f t="shared" ref="G1186:G1249" si="74">IF(OR(E1186="",F1186=""),"",DATE(YEAR(E1186),MONTH(E1186)+F1186,DAY(E1186)))</f>
        <v/>
      </c>
      <c r="H1186" s="12" t="str">
        <f t="shared" ref="H1186:H1249" ca="1" si="75">IF(G1186="","",IF(G1186&lt;TODAY(),"PO TERMINIE",IF(G1186&lt;=TODAY()+14,"DO WYKONANIA","OK")))</f>
        <v/>
      </c>
      <c r="I1186" s="14"/>
      <c r="J1186" s="1" t="str">
        <f>IF(COUNTA(A1186:F3473)=0,"",IF(#REF!="","BRAK PROTOKOŁU","DODANY"))</f>
        <v/>
      </c>
      <c r="K1186" s="1"/>
      <c r="M1186" s="13" t="str" cm="1">
        <f t="array" ref="M1186">IF($A1186="","",IFERROR(TRANSPOSE(_xlfn._xlws.FILTER(Lokale!$C$3:$C$91,Lokale!$B$3:$B$91=$A1186)),""))</f>
        <v/>
      </c>
      <c r="AJ1186" s="13" t="str" cm="1">
        <f t="array" ref="AJ1186">IF($C1186="","",IFERROR(TRANSPOSE(_xlfn._xlws.FILTER(Listy!$D$2:$D$60,Listy!$C$2:$C$60=$C1186)),""))</f>
        <v/>
      </c>
    </row>
    <row r="1187" spans="7:36" ht="25" customHeight="1" x14ac:dyDescent="0.35">
      <c r="G1187" s="15" t="str">
        <f t="shared" si="74"/>
        <v/>
      </c>
      <c r="H1187" s="12" t="str">
        <f t="shared" ca="1" si="75"/>
        <v/>
      </c>
      <c r="I1187" s="14"/>
      <c r="J1187" s="1" t="str">
        <f>IF(COUNTA(A1187:F3474)=0,"",IF(#REF!="","BRAK PROTOKOŁU","DODANY"))</f>
        <v/>
      </c>
      <c r="K1187" s="1"/>
      <c r="M1187" s="13" t="str" cm="1">
        <f t="array" ref="M1187">IF($A1187="","",IFERROR(TRANSPOSE(_xlfn._xlws.FILTER(Lokale!$C$3:$C$91,Lokale!$B$3:$B$91=$A1187)),""))</f>
        <v/>
      </c>
      <c r="AJ1187" s="13" t="str" cm="1">
        <f t="array" ref="AJ1187">IF($C1187="","",IFERROR(TRANSPOSE(_xlfn._xlws.FILTER(Listy!$D$2:$D$60,Listy!$C$2:$C$60=$C1187)),""))</f>
        <v/>
      </c>
    </row>
    <row r="1188" spans="7:36" ht="25" customHeight="1" x14ac:dyDescent="0.35">
      <c r="G1188" s="15" t="str">
        <f t="shared" si="74"/>
        <v/>
      </c>
      <c r="H1188" s="12" t="str">
        <f t="shared" ca="1" si="75"/>
        <v/>
      </c>
      <c r="I1188" s="14"/>
      <c r="J1188" s="1" t="str">
        <f>IF(COUNTA(A1188:F3475)=0,"",IF(#REF!="","BRAK PROTOKOŁU","DODANY"))</f>
        <v/>
      </c>
      <c r="K1188" s="1"/>
      <c r="M1188" s="13" t="str" cm="1">
        <f t="array" ref="M1188">IF($A1188="","",IFERROR(TRANSPOSE(_xlfn._xlws.FILTER(Lokale!$C$3:$C$91,Lokale!$B$3:$B$91=$A1188)),""))</f>
        <v/>
      </c>
      <c r="AJ1188" s="13" t="str" cm="1">
        <f t="array" ref="AJ1188">IF($C1188="","",IFERROR(TRANSPOSE(_xlfn._xlws.FILTER(Listy!$D$2:$D$60,Listy!$C$2:$C$60=$C1188)),""))</f>
        <v/>
      </c>
    </row>
    <row r="1189" spans="7:36" ht="25" customHeight="1" x14ac:dyDescent="0.35">
      <c r="G1189" s="15" t="str">
        <f t="shared" si="74"/>
        <v/>
      </c>
      <c r="H1189" s="12" t="str">
        <f t="shared" ca="1" si="75"/>
        <v/>
      </c>
      <c r="I1189" s="14"/>
      <c r="J1189" s="1" t="str">
        <f>IF(COUNTA(A1189:F3476)=0,"",IF(#REF!="","BRAK PROTOKOŁU","DODANY"))</f>
        <v/>
      </c>
      <c r="K1189" s="1"/>
      <c r="M1189" s="13" t="str" cm="1">
        <f t="array" ref="M1189">IF($A1189="","",IFERROR(TRANSPOSE(_xlfn._xlws.FILTER(Lokale!$C$3:$C$91,Lokale!$B$3:$B$91=$A1189)),""))</f>
        <v/>
      </c>
      <c r="AJ1189" s="13" t="str" cm="1">
        <f t="array" ref="AJ1189">IF($C1189="","",IFERROR(TRANSPOSE(_xlfn._xlws.FILTER(Listy!$D$2:$D$60,Listy!$C$2:$C$60=$C1189)),""))</f>
        <v/>
      </c>
    </row>
    <row r="1190" spans="7:36" ht="25" customHeight="1" x14ac:dyDescent="0.35">
      <c r="G1190" s="15" t="str">
        <f t="shared" si="74"/>
        <v/>
      </c>
      <c r="H1190" s="12" t="str">
        <f t="shared" ca="1" si="75"/>
        <v/>
      </c>
      <c r="I1190" s="14"/>
      <c r="J1190" s="1" t="str">
        <f>IF(COUNTA(A1190:F3477)=0,"",IF(#REF!="","BRAK PROTOKOŁU","DODANY"))</f>
        <v/>
      </c>
      <c r="K1190" s="1"/>
      <c r="M1190" s="13" t="str" cm="1">
        <f t="array" ref="M1190">IF($A1190="","",IFERROR(TRANSPOSE(_xlfn._xlws.FILTER(Lokale!$C$3:$C$91,Lokale!$B$3:$B$91=$A1190)),""))</f>
        <v/>
      </c>
      <c r="AJ1190" s="13" t="str" cm="1">
        <f t="array" ref="AJ1190">IF($C1190="","",IFERROR(TRANSPOSE(_xlfn._xlws.FILTER(Listy!$D$2:$D$60,Listy!$C$2:$C$60=$C1190)),""))</f>
        <v/>
      </c>
    </row>
    <row r="1191" spans="7:36" ht="25" customHeight="1" x14ac:dyDescent="0.35">
      <c r="G1191" s="15" t="str">
        <f t="shared" si="74"/>
        <v/>
      </c>
      <c r="H1191" s="12" t="str">
        <f t="shared" ca="1" si="75"/>
        <v/>
      </c>
      <c r="I1191" s="14"/>
      <c r="J1191" s="1" t="str">
        <f>IF(COUNTA(A1191:F3478)=0,"",IF(#REF!="","BRAK PROTOKOŁU","DODANY"))</f>
        <v/>
      </c>
      <c r="K1191" s="1"/>
      <c r="M1191" s="13" t="str" cm="1">
        <f t="array" ref="M1191">IF($A1191="","",IFERROR(TRANSPOSE(_xlfn._xlws.FILTER(Lokale!$C$3:$C$91,Lokale!$B$3:$B$91=$A1191)),""))</f>
        <v/>
      </c>
      <c r="AJ1191" s="13" t="str" cm="1">
        <f t="array" ref="AJ1191">IF($C1191="","",IFERROR(TRANSPOSE(_xlfn._xlws.FILTER(Listy!$D$2:$D$60,Listy!$C$2:$C$60=$C1191)),""))</f>
        <v/>
      </c>
    </row>
    <row r="1192" spans="7:36" ht="25" customHeight="1" x14ac:dyDescent="0.35">
      <c r="G1192" s="15" t="str">
        <f t="shared" si="74"/>
        <v/>
      </c>
      <c r="H1192" s="12" t="str">
        <f t="shared" ca="1" si="75"/>
        <v/>
      </c>
      <c r="I1192" s="14"/>
      <c r="J1192" s="1" t="str">
        <f>IF(COUNTA(A1192:F3479)=0,"",IF(#REF!="","BRAK PROTOKOŁU","DODANY"))</f>
        <v/>
      </c>
      <c r="K1192" s="1"/>
      <c r="M1192" s="13" t="str" cm="1">
        <f t="array" ref="M1192">IF($A1192="","",IFERROR(TRANSPOSE(_xlfn._xlws.FILTER(Lokale!$C$3:$C$91,Lokale!$B$3:$B$91=$A1192)),""))</f>
        <v/>
      </c>
      <c r="AJ1192" s="13" t="str" cm="1">
        <f t="array" ref="AJ1192">IF($C1192="","",IFERROR(TRANSPOSE(_xlfn._xlws.FILTER(Listy!$D$2:$D$60,Listy!$C$2:$C$60=$C1192)),""))</f>
        <v/>
      </c>
    </row>
    <row r="1193" spans="7:36" ht="25" customHeight="1" x14ac:dyDescent="0.35">
      <c r="G1193" s="15" t="str">
        <f t="shared" si="74"/>
        <v/>
      </c>
      <c r="H1193" s="12" t="str">
        <f t="shared" ca="1" si="75"/>
        <v/>
      </c>
      <c r="I1193" s="14"/>
      <c r="J1193" s="1" t="str">
        <f>IF(COUNTA(A1193:F3480)=0,"",IF(#REF!="","BRAK PROTOKOŁU","DODANY"))</f>
        <v/>
      </c>
      <c r="K1193" s="1"/>
      <c r="M1193" s="13" t="str" cm="1">
        <f t="array" ref="M1193">IF($A1193="","",IFERROR(TRANSPOSE(_xlfn._xlws.FILTER(Lokale!$C$3:$C$91,Lokale!$B$3:$B$91=$A1193)),""))</f>
        <v/>
      </c>
      <c r="AJ1193" s="13" t="str" cm="1">
        <f t="array" ref="AJ1193">IF($C1193="","",IFERROR(TRANSPOSE(_xlfn._xlws.FILTER(Listy!$D$2:$D$60,Listy!$C$2:$C$60=$C1193)),""))</f>
        <v/>
      </c>
    </row>
    <row r="1194" spans="7:36" ht="25" customHeight="1" x14ac:dyDescent="0.35">
      <c r="G1194" s="15" t="str">
        <f t="shared" si="74"/>
        <v/>
      </c>
      <c r="H1194" s="12" t="str">
        <f t="shared" ca="1" si="75"/>
        <v/>
      </c>
      <c r="I1194" s="14"/>
      <c r="J1194" s="1" t="str">
        <f>IF(COUNTA(A1194:F3481)=0,"",IF(#REF!="","BRAK PROTOKOŁU","DODANY"))</f>
        <v/>
      </c>
      <c r="K1194" s="1"/>
      <c r="M1194" s="13" t="str" cm="1">
        <f t="array" ref="M1194">IF($A1194="","",IFERROR(TRANSPOSE(_xlfn._xlws.FILTER(Lokale!$C$3:$C$91,Lokale!$B$3:$B$91=$A1194)),""))</f>
        <v/>
      </c>
      <c r="AJ1194" s="13" t="str" cm="1">
        <f t="array" ref="AJ1194">IF($C1194="","",IFERROR(TRANSPOSE(_xlfn._xlws.FILTER(Listy!$D$2:$D$60,Listy!$C$2:$C$60=$C1194)),""))</f>
        <v/>
      </c>
    </row>
    <row r="1195" spans="7:36" ht="25" customHeight="1" x14ac:dyDescent="0.35">
      <c r="G1195" s="15" t="str">
        <f t="shared" si="74"/>
        <v/>
      </c>
      <c r="H1195" s="12" t="str">
        <f t="shared" ca="1" si="75"/>
        <v/>
      </c>
      <c r="I1195" s="14"/>
      <c r="J1195" s="1" t="str">
        <f>IF(COUNTA(A1195:F3482)=0,"",IF(#REF!="","BRAK PROTOKOŁU","DODANY"))</f>
        <v/>
      </c>
      <c r="K1195" s="1"/>
      <c r="M1195" s="13" t="str" cm="1">
        <f t="array" ref="M1195">IF($A1195="","",IFERROR(TRANSPOSE(_xlfn._xlws.FILTER(Lokale!$C$3:$C$91,Lokale!$B$3:$B$91=$A1195)),""))</f>
        <v/>
      </c>
      <c r="AJ1195" s="13" t="str" cm="1">
        <f t="array" ref="AJ1195">IF($C1195="","",IFERROR(TRANSPOSE(_xlfn._xlws.FILTER(Listy!$D$2:$D$60,Listy!$C$2:$C$60=$C1195)),""))</f>
        <v/>
      </c>
    </row>
    <row r="1196" spans="7:36" ht="25" customHeight="1" x14ac:dyDescent="0.35">
      <c r="G1196" s="15" t="str">
        <f t="shared" si="74"/>
        <v/>
      </c>
      <c r="H1196" s="12" t="str">
        <f t="shared" ca="1" si="75"/>
        <v/>
      </c>
      <c r="I1196" s="14"/>
      <c r="J1196" s="1" t="str">
        <f>IF(COUNTA(A1196:F3483)=0,"",IF(#REF!="","BRAK PROTOKOŁU","DODANY"))</f>
        <v/>
      </c>
      <c r="K1196" s="1"/>
      <c r="M1196" s="13" t="str" cm="1">
        <f t="array" ref="M1196">IF($A1196="","",IFERROR(TRANSPOSE(_xlfn._xlws.FILTER(Lokale!$C$3:$C$91,Lokale!$B$3:$B$91=$A1196)),""))</f>
        <v/>
      </c>
      <c r="AJ1196" s="13" t="str" cm="1">
        <f t="array" ref="AJ1196">IF($C1196="","",IFERROR(TRANSPOSE(_xlfn._xlws.FILTER(Listy!$D$2:$D$60,Listy!$C$2:$C$60=$C1196)),""))</f>
        <v/>
      </c>
    </row>
    <row r="1197" spans="7:36" ht="25" customHeight="1" x14ac:dyDescent="0.35">
      <c r="G1197" s="15" t="str">
        <f t="shared" si="74"/>
        <v/>
      </c>
      <c r="H1197" s="12" t="str">
        <f t="shared" ca="1" si="75"/>
        <v/>
      </c>
      <c r="I1197" s="14"/>
      <c r="J1197" s="1" t="str">
        <f>IF(COUNTA(A1197:F3484)=0,"",IF(#REF!="","BRAK PROTOKOŁU","DODANY"))</f>
        <v/>
      </c>
      <c r="K1197" s="1"/>
      <c r="M1197" s="13" t="str" cm="1">
        <f t="array" ref="M1197">IF($A1197="","",IFERROR(TRANSPOSE(_xlfn._xlws.FILTER(Lokale!$C$3:$C$91,Lokale!$B$3:$B$91=$A1197)),""))</f>
        <v/>
      </c>
      <c r="AJ1197" s="13" t="str" cm="1">
        <f t="array" ref="AJ1197">IF($C1197="","",IFERROR(TRANSPOSE(_xlfn._xlws.FILTER(Listy!$D$2:$D$60,Listy!$C$2:$C$60=$C1197)),""))</f>
        <v/>
      </c>
    </row>
    <row r="1198" spans="7:36" ht="25" customHeight="1" x14ac:dyDescent="0.35">
      <c r="G1198" s="15" t="str">
        <f t="shared" si="74"/>
        <v/>
      </c>
      <c r="H1198" s="12" t="str">
        <f t="shared" ca="1" si="75"/>
        <v/>
      </c>
      <c r="I1198" s="14"/>
      <c r="J1198" s="1" t="str">
        <f>IF(COUNTA(A1198:F3485)=0,"",IF(#REF!="","BRAK PROTOKOŁU","DODANY"))</f>
        <v/>
      </c>
      <c r="K1198" s="1"/>
      <c r="M1198" s="13" t="str" cm="1">
        <f t="array" ref="M1198">IF($A1198="","",IFERROR(TRANSPOSE(_xlfn._xlws.FILTER(Lokale!$C$3:$C$91,Lokale!$B$3:$B$91=$A1198)),""))</f>
        <v/>
      </c>
      <c r="AJ1198" s="13" t="str" cm="1">
        <f t="array" ref="AJ1198">IF($C1198="","",IFERROR(TRANSPOSE(_xlfn._xlws.FILTER(Listy!$D$2:$D$60,Listy!$C$2:$C$60=$C1198)),""))</f>
        <v/>
      </c>
    </row>
    <row r="1199" spans="7:36" ht="25" customHeight="1" x14ac:dyDescent="0.35">
      <c r="G1199" s="15" t="str">
        <f t="shared" si="74"/>
        <v/>
      </c>
      <c r="H1199" s="12" t="str">
        <f t="shared" ca="1" si="75"/>
        <v/>
      </c>
      <c r="I1199" s="14"/>
      <c r="J1199" s="1" t="str">
        <f>IF(COUNTA(A1199:F3486)=0,"",IF(#REF!="","BRAK PROTOKOŁU","DODANY"))</f>
        <v/>
      </c>
      <c r="K1199" s="1"/>
      <c r="M1199" s="13" t="str" cm="1">
        <f t="array" ref="M1199">IF($A1199="","",IFERROR(TRANSPOSE(_xlfn._xlws.FILTER(Lokale!$C$3:$C$91,Lokale!$B$3:$B$91=$A1199)),""))</f>
        <v/>
      </c>
      <c r="AJ1199" s="13" t="str" cm="1">
        <f t="array" ref="AJ1199">IF($C1199="","",IFERROR(TRANSPOSE(_xlfn._xlws.FILTER(Listy!$D$2:$D$60,Listy!$C$2:$C$60=$C1199)),""))</f>
        <v/>
      </c>
    </row>
    <row r="1200" spans="7:36" ht="25" customHeight="1" x14ac:dyDescent="0.35">
      <c r="G1200" s="15" t="str">
        <f t="shared" si="74"/>
        <v/>
      </c>
      <c r="H1200" s="12" t="str">
        <f t="shared" ca="1" si="75"/>
        <v/>
      </c>
      <c r="I1200" s="14"/>
      <c r="J1200" s="1" t="str">
        <f>IF(COUNTA(A1200:F3487)=0,"",IF(#REF!="","BRAK PROTOKOŁU","DODANY"))</f>
        <v/>
      </c>
      <c r="K1200" s="1"/>
      <c r="M1200" s="13" t="str" cm="1">
        <f t="array" ref="M1200">IF($A1200="","",IFERROR(TRANSPOSE(_xlfn._xlws.FILTER(Lokale!$C$3:$C$91,Lokale!$B$3:$B$91=$A1200)),""))</f>
        <v/>
      </c>
      <c r="AJ1200" s="13" t="str" cm="1">
        <f t="array" ref="AJ1200">IF($C1200="","",IFERROR(TRANSPOSE(_xlfn._xlws.FILTER(Listy!$D$2:$D$60,Listy!$C$2:$C$60=$C1200)),""))</f>
        <v/>
      </c>
    </row>
    <row r="1201" spans="7:36" ht="25" customHeight="1" x14ac:dyDescent="0.35">
      <c r="G1201" s="15" t="str">
        <f t="shared" si="74"/>
        <v/>
      </c>
      <c r="H1201" s="12" t="str">
        <f t="shared" ca="1" si="75"/>
        <v/>
      </c>
      <c r="I1201" s="14"/>
      <c r="J1201" s="1" t="str">
        <f>IF(COUNTA(A1201:F3488)=0,"",IF(#REF!="","BRAK PROTOKOŁU","DODANY"))</f>
        <v/>
      </c>
      <c r="K1201" s="1"/>
      <c r="M1201" s="13" t="str" cm="1">
        <f t="array" ref="M1201">IF($A1201="","",IFERROR(TRANSPOSE(_xlfn._xlws.FILTER(Lokale!$C$3:$C$91,Lokale!$B$3:$B$91=$A1201)),""))</f>
        <v/>
      </c>
      <c r="AJ1201" s="13" t="str" cm="1">
        <f t="array" ref="AJ1201">IF($C1201="","",IFERROR(TRANSPOSE(_xlfn._xlws.FILTER(Listy!$D$2:$D$60,Listy!$C$2:$C$60=$C1201)),""))</f>
        <v/>
      </c>
    </row>
    <row r="1202" spans="7:36" ht="25" customHeight="1" x14ac:dyDescent="0.35">
      <c r="G1202" s="15" t="str">
        <f t="shared" si="74"/>
        <v/>
      </c>
      <c r="H1202" s="12" t="str">
        <f t="shared" ca="1" si="75"/>
        <v/>
      </c>
      <c r="I1202" s="14"/>
      <c r="J1202" s="1" t="str">
        <f>IF(COUNTA(A1202:F3489)=0,"",IF(#REF!="","BRAK PROTOKOŁU","DODANY"))</f>
        <v/>
      </c>
      <c r="K1202" s="1"/>
      <c r="M1202" s="13" t="str" cm="1">
        <f t="array" ref="M1202">IF($A1202="","",IFERROR(TRANSPOSE(_xlfn._xlws.FILTER(Lokale!$C$3:$C$91,Lokale!$B$3:$B$91=$A1202)),""))</f>
        <v/>
      </c>
      <c r="AJ1202" s="13" t="str" cm="1">
        <f t="array" ref="AJ1202">IF($C1202="","",IFERROR(TRANSPOSE(_xlfn._xlws.FILTER(Listy!$D$2:$D$60,Listy!$C$2:$C$60=$C1202)),""))</f>
        <v/>
      </c>
    </row>
    <row r="1203" spans="7:36" ht="25" customHeight="1" x14ac:dyDescent="0.35">
      <c r="G1203" s="15" t="str">
        <f t="shared" si="74"/>
        <v/>
      </c>
      <c r="H1203" s="12" t="str">
        <f t="shared" ca="1" si="75"/>
        <v/>
      </c>
      <c r="I1203" s="14"/>
      <c r="J1203" s="1" t="str">
        <f>IF(COUNTA(A1203:F3490)=0,"",IF(#REF!="","BRAK PROTOKOŁU","DODANY"))</f>
        <v/>
      </c>
      <c r="K1203" s="1"/>
      <c r="M1203" s="13" t="str" cm="1">
        <f t="array" ref="M1203">IF($A1203="","",IFERROR(TRANSPOSE(_xlfn._xlws.FILTER(Lokale!$C$3:$C$91,Lokale!$B$3:$B$91=$A1203)),""))</f>
        <v/>
      </c>
      <c r="AJ1203" s="13" t="str" cm="1">
        <f t="array" ref="AJ1203">IF($C1203="","",IFERROR(TRANSPOSE(_xlfn._xlws.FILTER(Listy!$D$2:$D$60,Listy!$C$2:$C$60=$C1203)),""))</f>
        <v/>
      </c>
    </row>
    <row r="1204" spans="7:36" ht="25" customHeight="1" x14ac:dyDescent="0.35">
      <c r="G1204" s="15" t="str">
        <f t="shared" si="74"/>
        <v/>
      </c>
      <c r="H1204" s="12" t="str">
        <f t="shared" ca="1" si="75"/>
        <v/>
      </c>
      <c r="I1204" s="14"/>
      <c r="J1204" s="1" t="str">
        <f>IF(COUNTA(A1204:F3491)=0,"",IF(#REF!="","BRAK PROTOKOŁU","DODANY"))</f>
        <v/>
      </c>
      <c r="K1204" s="1"/>
      <c r="M1204" s="13" t="str" cm="1">
        <f t="array" ref="M1204">IF($A1204="","",IFERROR(TRANSPOSE(_xlfn._xlws.FILTER(Lokale!$C$3:$C$91,Lokale!$B$3:$B$91=$A1204)),""))</f>
        <v/>
      </c>
      <c r="AJ1204" s="13" t="str" cm="1">
        <f t="array" ref="AJ1204">IF($C1204="","",IFERROR(TRANSPOSE(_xlfn._xlws.FILTER(Listy!$D$2:$D$60,Listy!$C$2:$C$60=$C1204)),""))</f>
        <v/>
      </c>
    </row>
    <row r="1205" spans="7:36" ht="25" customHeight="1" x14ac:dyDescent="0.35">
      <c r="G1205" s="15" t="str">
        <f t="shared" si="74"/>
        <v/>
      </c>
      <c r="H1205" s="12" t="str">
        <f t="shared" ca="1" si="75"/>
        <v/>
      </c>
      <c r="I1205" s="14"/>
      <c r="J1205" s="1" t="str">
        <f>IF(COUNTA(A1205:F3492)=0,"",IF(#REF!="","BRAK PROTOKOŁU","DODANY"))</f>
        <v/>
      </c>
      <c r="K1205" s="1"/>
      <c r="M1205" s="13" t="str" cm="1">
        <f t="array" ref="M1205">IF($A1205="","",IFERROR(TRANSPOSE(_xlfn._xlws.FILTER(Lokale!$C$3:$C$91,Lokale!$B$3:$B$91=$A1205)),""))</f>
        <v/>
      </c>
      <c r="AJ1205" s="13" t="str" cm="1">
        <f t="array" ref="AJ1205">IF($C1205="","",IFERROR(TRANSPOSE(_xlfn._xlws.FILTER(Listy!$D$2:$D$60,Listy!$C$2:$C$60=$C1205)),""))</f>
        <v/>
      </c>
    </row>
    <row r="1206" spans="7:36" ht="25" customHeight="1" x14ac:dyDescent="0.35">
      <c r="G1206" s="15" t="str">
        <f t="shared" si="74"/>
        <v/>
      </c>
      <c r="H1206" s="12" t="str">
        <f t="shared" ca="1" si="75"/>
        <v/>
      </c>
      <c r="I1206" s="14"/>
      <c r="J1206" s="1" t="str">
        <f>IF(COUNTA(A1206:F3493)=0,"",IF(#REF!="","BRAK PROTOKOŁU","DODANY"))</f>
        <v/>
      </c>
      <c r="K1206" s="1"/>
      <c r="M1206" s="13" t="str" cm="1">
        <f t="array" ref="M1206">IF($A1206="","",IFERROR(TRANSPOSE(_xlfn._xlws.FILTER(Lokale!$C$3:$C$91,Lokale!$B$3:$B$91=$A1206)),""))</f>
        <v/>
      </c>
      <c r="AJ1206" s="13" t="str" cm="1">
        <f t="array" ref="AJ1206">IF($C1206="","",IFERROR(TRANSPOSE(_xlfn._xlws.FILTER(Listy!$D$2:$D$60,Listy!$C$2:$C$60=$C1206)),""))</f>
        <v/>
      </c>
    </row>
    <row r="1207" spans="7:36" ht="25" customHeight="1" x14ac:dyDescent="0.35">
      <c r="G1207" s="15" t="str">
        <f t="shared" si="74"/>
        <v/>
      </c>
      <c r="H1207" s="12" t="str">
        <f t="shared" ca="1" si="75"/>
        <v/>
      </c>
      <c r="I1207" s="14"/>
      <c r="J1207" s="1" t="str">
        <f>IF(COUNTA(A1207:F3494)=0,"",IF(#REF!="","BRAK PROTOKOŁU","DODANY"))</f>
        <v/>
      </c>
      <c r="K1207" s="1"/>
      <c r="M1207" s="13" t="str" cm="1">
        <f t="array" ref="M1207">IF($A1207="","",IFERROR(TRANSPOSE(_xlfn._xlws.FILTER(Lokale!$C$3:$C$91,Lokale!$B$3:$B$91=$A1207)),""))</f>
        <v/>
      </c>
      <c r="AJ1207" s="13" t="str" cm="1">
        <f t="array" ref="AJ1207">IF($C1207="","",IFERROR(TRANSPOSE(_xlfn._xlws.FILTER(Listy!$D$2:$D$60,Listy!$C$2:$C$60=$C1207)),""))</f>
        <v/>
      </c>
    </row>
    <row r="1208" spans="7:36" ht="25" customHeight="1" x14ac:dyDescent="0.35">
      <c r="G1208" s="15" t="str">
        <f t="shared" si="74"/>
        <v/>
      </c>
      <c r="H1208" s="12" t="str">
        <f t="shared" ca="1" si="75"/>
        <v/>
      </c>
      <c r="I1208" s="14"/>
      <c r="J1208" s="1" t="str">
        <f>IF(COUNTA(A1208:F3495)=0,"",IF(#REF!="","BRAK PROTOKOŁU","DODANY"))</f>
        <v/>
      </c>
      <c r="K1208" s="1"/>
      <c r="M1208" s="13" t="str" cm="1">
        <f t="array" ref="M1208">IF($A1208="","",IFERROR(TRANSPOSE(_xlfn._xlws.FILTER(Lokale!$C$3:$C$91,Lokale!$B$3:$B$91=$A1208)),""))</f>
        <v/>
      </c>
      <c r="AJ1208" s="13" t="str" cm="1">
        <f t="array" ref="AJ1208">IF($C1208="","",IFERROR(TRANSPOSE(_xlfn._xlws.FILTER(Listy!$D$2:$D$60,Listy!$C$2:$C$60=$C1208)),""))</f>
        <v/>
      </c>
    </row>
    <row r="1209" spans="7:36" ht="25" customHeight="1" x14ac:dyDescent="0.35">
      <c r="G1209" s="15" t="str">
        <f t="shared" si="74"/>
        <v/>
      </c>
      <c r="H1209" s="12" t="str">
        <f t="shared" ca="1" si="75"/>
        <v/>
      </c>
      <c r="I1209" s="14"/>
      <c r="J1209" s="1" t="str">
        <f>IF(COUNTA(A1209:F3496)=0,"",IF(#REF!="","BRAK PROTOKOŁU","DODANY"))</f>
        <v/>
      </c>
      <c r="K1209" s="1"/>
      <c r="M1209" s="13" t="str" cm="1">
        <f t="array" ref="M1209">IF($A1209="","",IFERROR(TRANSPOSE(_xlfn._xlws.FILTER(Lokale!$C$3:$C$91,Lokale!$B$3:$B$91=$A1209)),""))</f>
        <v/>
      </c>
      <c r="AJ1209" s="13" t="str" cm="1">
        <f t="array" ref="AJ1209">IF($C1209="","",IFERROR(TRANSPOSE(_xlfn._xlws.FILTER(Listy!$D$2:$D$60,Listy!$C$2:$C$60=$C1209)),""))</f>
        <v/>
      </c>
    </row>
    <row r="1210" spans="7:36" ht="25" customHeight="1" x14ac:dyDescent="0.35">
      <c r="G1210" s="15" t="str">
        <f t="shared" si="74"/>
        <v/>
      </c>
      <c r="H1210" s="12" t="str">
        <f t="shared" ca="1" si="75"/>
        <v/>
      </c>
      <c r="I1210" s="14"/>
      <c r="J1210" s="1" t="str">
        <f>IF(COUNTA(A1210:F3497)=0,"",IF(#REF!="","BRAK PROTOKOŁU","DODANY"))</f>
        <v/>
      </c>
      <c r="K1210" s="1"/>
      <c r="M1210" s="13" t="str" cm="1">
        <f t="array" ref="M1210">IF($A1210="","",IFERROR(TRANSPOSE(_xlfn._xlws.FILTER(Lokale!$C$3:$C$91,Lokale!$B$3:$B$91=$A1210)),""))</f>
        <v/>
      </c>
      <c r="AJ1210" s="13" t="str" cm="1">
        <f t="array" ref="AJ1210">IF($C1210="","",IFERROR(TRANSPOSE(_xlfn._xlws.FILTER(Listy!$D$2:$D$60,Listy!$C$2:$C$60=$C1210)),""))</f>
        <v/>
      </c>
    </row>
    <row r="1211" spans="7:36" ht="25" customHeight="1" x14ac:dyDescent="0.35">
      <c r="G1211" s="15" t="str">
        <f t="shared" si="74"/>
        <v/>
      </c>
      <c r="H1211" s="12" t="str">
        <f t="shared" ca="1" si="75"/>
        <v/>
      </c>
      <c r="I1211" s="14"/>
      <c r="J1211" s="1" t="str">
        <f>IF(COUNTA(A1211:F3498)=0,"",IF(#REF!="","BRAK PROTOKOŁU","DODANY"))</f>
        <v/>
      </c>
      <c r="K1211" s="1"/>
      <c r="M1211" s="13" t="str" cm="1">
        <f t="array" ref="M1211">IF($A1211="","",IFERROR(TRANSPOSE(_xlfn._xlws.FILTER(Lokale!$C$3:$C$91,Lokale!$B$3:$B$91=$A1211)),""))</f>
        <v/>
      </c>
      <c r="AJ1211" s="13" t="str" cm="1">
        <f t="array" ref="AJ1211">IF($C1211="","",IFERROR(TRANSPOSE(_xlfn._xlws.FILTER(Listy!$D$2:$D$60,Listy!$C$2:$C$60=$C1211)),""))</f>
        <v/>
      </c>
    </row>
    <row r="1212" spans="7:36" ht="25" customHeight="1" x14ac:dyDescent="0.35">
      <c r="G1212" s="15" t="str">
        <f t="shared" si="74"/>
        <v/>
      </c>
      <c r="H1212" s="12" t="str">
        <f t="shared" ca="1" si="75"/>
        <v/>
      </c>
      <c r="I1212" s="14"/>
      <c r="J1212" s="1" t="str">
        <f>IF(COUNTA(A1212:F3499)=0,"",IF(#REF!="","BRAK PROTOKOŁU","DODANY"))</f>
        <v/>
      </c>
      <c r="K1212" s="1"/>
      <c r="M1212" s="13" t="str" cm="1">
        <f t="array" ref="M1212">IF($A1212="","",IFERROR(TRANSPOSE(_xlfn._xlws.FILTER(Lokale!$C$3:$C$91,Lokale!$B$3:$B$91=$A1212)),""))</f>
        <v/>
      </c>
      <c r="AJ1212" s="13" t="str" cm="1">
        <f t="array" ref="AJ1212">IF($C1212="","",IFERROR(TRANSPOSE(_xlfn._xlws.FILTER(Listy!$D$2:$D$60,Listy!$C$2:$C$60=$C1212)),""))</f>
        <v/>
      </c>
    </row>
    <row r="1213" spans="7:36" ht="25" customHeight="1" x14ac:dyDescent="0.35">
      <c r="G1213" s="15" t="str">
        <f t="shared" si="74"/>
        <v/>
      </c>
      <c r="H1213" s="12" t="str">
        <f t="shared" ca="1" si="75"/>
        <v/>
      </c>
      <c r="I1213" s="14"/>
      <c r="J1213" s="1" t="str">
        <f>IF(COUNTA(A1213:F3500)=0,"",IF(#REF!="","BRAK PROTOKOŁU","DODANY"))</f>
        <v/>
      </c>
      <c r="K1213" s="1"/>
      <c r="M1213" s="13" t="str" cm="1">
        <f t="array" ref="M1213">IF($A1213="","",IFERROR(TRANSPOSE(_xlfn._xlws.FILTER(Lokale!$C$3:$C$91,Lokale!$B$3:$B$91=$A1213)),""))</f>
        <v/>
      </c>
      <c r="AJ1213" s="13" t="str" cm="1">
        <f t="array" ref="AJ1213">IF($C1213="","",IFERROR(TRANSPOSE(_xlfn._xlws.FILTER(Listy!$D$2:$D$60,Listy!$C$2:$C$60=$C1213)),""))</f>
        <v/>
      </c>
    </row>
    <row r="1214" spans="7:36" ht="25" customHeight="1" x14ac:dyDescent="0.35">
      <c r="G1214" s="15" t="str">
        <f t="shared" si="74"/>
        <v/>
      </c>
      <c r="H1214" s="12" t="str">
        <f t="shared" ca="1" si="75"/>
        <v/>
      </c>
      <c r="I1214" s="14"/>
      <c r="J1214" s="1" t="str">
        <f>IF(COUNTA(A1214:F3501)=0,"",IF(#REF!="","BRAK PROTOKOŁU","DODANY"))</f>
        <v/>
      </c>
      <c r="K1214" s="1"/>
      <c r="M1214" s="13" t="str" cm="1">
        <f t="array" ref="M1214">IF($A1214="","",IFERROR(TRANSPOSE(_xlfn._xlws.FILTER(Lokale!$C$3:$C$91,Lokale!$B$3:$B$91=$A1214)),""))</f>
        <v/>
      </c>
      <c r="AJ1214" s="13" t="str" cm="1">
        <f t="array" ref="AJ1214">IF($C1214="","",IFERROR(TRANSPOSE(_xlfn._xlws.FILTER(Listy!$D$2:$D$60,Listy!$C$2:$C$60=$C1214)),""))</f>
        <v/>
      </c>
    </row>
    <row r="1215" spans="7:36" ht="25" customHeight="1" x14ac:dyDescent="0.35">
      <c r="G1215" s="15" t="str">
        <f t="shared" si="74"/>
        <v/>
      </c>
      <c r="H1215" s="12" t="str">
        <f t="shared" ca="1" si="75"/>
        <v/>
      </c>
      <c r="I1215" s="14"/>
      <c r="J1215" s="1" t="str">
        <f>IF(COUNTA(A1215:F3502)=0,"",IF(#REF!="","BRAK PROTOKOŁU","DODANY"))</f>
        <v/>
      </c>
      <c r="K1215" s="1"/>
      <c r="M1215" s="13" t="str" cm="1">
        <f t="array" ref="M1215">IF($A1215="","",IFERROR(TRANSPOSE(_xlfn._xlws.FILTER(Lokale!$C$3:$C$91,Lokale!$B$3:$B$91=$A1215)),""))</f>
        <v/>
      </c>
      <c r="AJ1215" s="13" t="str" cm="1">
        <f t="array" ref="AJ1215">IF($C1215="","",IFERROR(TRANSPOSE(_xlfn._xlws.FILTER(Listy!$D$2:$D$60,Listy!$C$2:$C$60=$C1215)),""))</f>
        <v/>
      </c>
    </row>
    <row r="1216" spans="7:36" ht="25" customHeight="1" x14ac:dyDescent="0.35">
      <c r="G1216" s="15" t="str">
        <f t="shared" si="74"/>
        <v/>
      </c>
      <c r="H1216" s="12" t="str">
        <f t="shared" ca="1" si="75"/>
        <v/>
      </c>
      <c r="I1216" s="14"/>
      <c r="J1216" s="1" t="str">
        <f>IF(COUNTA(A1216:F3503)=0,"",IF(#REF!="","BRAK PROTOKOŁU","DODANY"))</f>
        <v/>
      </c>
      <c r="K1216" s="1"/>
      <c r="M1216" s="13" t="str" cm="1">
        <f t="array" ref="M1216">IF($A1216="","",IFERROR(TRANSPOSE(_xlfn._xlws.FILTER(Lokale!$C$3:$C$91,Lokale!$B$3:$B$91=$A1216)),""))</f>
        <v/>
      </c>
      <c r="AJ1216" s="13" t="str" cm="1">
        <f t="array" ref="AJ1216">IF($C1216="","",IFERROR(TRANSPOSE(_xlfn._xlws.FILTER(Listy!$D$2:$D$60,Listy!$C$2:$C$60=$C1216)),""))</f>
        <v/>
      </c>
    </row>
    <row r="1217" spans="7:36" ht="25" customHeight="1" x14ac:dyDescent="0.35">
      <c r="G1217" s="15" t="str">
        <f t="shared" si="74"/>
        <v/>
      </c>
      <c r="H1217" s="12" t="str">
        <f t="shared" ca="1" si="75"/>
        <v/>
      </c>
      <c r="I1217" s="14"/>
      <c r="J1217" s="1" t="str">
        <f>IF(COUNTA(A1217:F3504)=0,"",IF(#REF!="","BRAK PROTOKOŁU","DODANY"))</f>
        <v/>
      </c>
      <c r="K1217" s="1"/>
      <c r="M1217" s="13" t="str" cm="1">
        <f t="array" ref="M1217">IF($A1217="","",IFERROR(TRANSPOSE(_xlfn._xlws.FILTER(Lokale!$C$3:$C$91,Lokale!$B$3:$B$91=$A1217)),""))</f>
        <v/>
      </c>
      <c r="AJ1217" s="13" t="str" cm="1">
        <f t="array" ref="AJ1217">IF($C1217="","",IFERROR(TRANSPOSE(_xlfn._xlws.FILTER(Listy!$D$2:$D$60,Listy!$C$2:$C$60=$C1217)),""))</f>
        <v/>
      </c>
    </row>
    <row r="1218" spans="7:36" ht="25" customHeight="1" x14ac:dyDescent="0.35">
      <c r="G1218" s="15" t="str">
        <f t="shared" si="74"/>
        <v/>
      </c>
      <c r="H1218" s="12" t="str">
        <f t="shared" ca="1" si="75"/>
        <v/>
      </c>
      <c r="I1218" s="14"/>
      <c r="J1218" s="1" t="str">
        <f>IF(COUNTA(A1218:F3505)=0,"",IF(#REF!="","BRAK PROTOKOŁU","DODANY"))</f>
        <v/>
      </c>
      <c r="K1218" s="1"/>
      <c r="M1218" s="13" t="str" cm="1">
        <f t="array" ref="M1218">IF($A1218="","",IFERROR(TRANSPOSE(_xlfn._xlws.FILTER(Lokale!$C$3:$C$91,Lokale!$B$3:$B$91=$A1218)),""))</f>
        <v/>
      </c>
      <c r="AJ1218" s="13" t="str" cm="1">
        <f t="array" ref="AJ1218">IF($C1218="","",IFERROR(TRANSPOSE(_xlfn._xlws.FILTER(Listy!$D$2:$D$60,Listy!$C$2:$C$60=$C1218)),""))</f>
        <v/>
      </c>
    </row>
    <row r="1219" spans="7:36" ht="25" customHeight="1" x14ac:dyDescent="0.35">
      <c r="G1219" s="15" t="str">
        <f t="shared" si="74"/>
        <v/>
      </c>
      <c r="H1219" s="12" t="str">
        <f t="shared" ca="1" si="75"/>
        <v/>
      </c>
      <c r="I1219" s="14"/>
      <c r="J1219" s="1" t="str">
        <f>IF(COUNTA(A1219:F3506)=0,"",IF(#REF!="","BRAK PROTOKOŁU","DODANY"))</f>
        <v/>
      </c>
      <c r="K1219" s="1"/>
      <c r="M1219" s="13" t="str" cm="1">
        <f t="array" ref="M1219">IF($A1219="","",IFERROR(TRANSPOSE(_xlfn._xlws.FILTER(Lokale!$C$3:$C$91,Lokale!$B$3:$B$91=$A1219)),""))</f>
        <v/>
      </c>
      <c r="AJ1219" s="13" t="str" cm="1">
        <f t="array" ref="AJ1219">IF($C1219="","",IFERROR(TRANSPOSE(_xlfn._xlws.FILTER(Listy!$D$2:$D$60,Listy!$C$2:$C$60=$C1219)),""))</f>
        <v/>
      </c>
    </row>
    <row r="1220" spans="7:36" ht="25" customHeight="1" x14ac:dyDescent="0.35">
      <c r="G1220" s="15" t="str">
        <f t="shared" si="74"/>
        <v/>
      </c>
      <c r="H1220" s="12" t="str">
        <f t="shared" ca="1" si="75"/>
        <v/>
      </c>
      <c r="I1220" s="14"/>
      <c r="J1220" s="1" t="str">
        <f>IF(COUNTA(A1220:F3507)=0,"",IF(#REF!="","BRAK PROTOKOŁU","DODANY"))</f>
        <v/>
      </c>
      <c r="K1220" s="1"/>
      <c r="M1220" s="13" t="str" cm="1">
        <f t="array" ref="M1220">IF($A1220="","",IFERROR(TRANSPOSE(_xlfn._xlws.FILTER(Lokale!$C$3:$C$91,Lokale!$B$3:$B$91=$A1220)),""))</f>
        <v/>
      </c>
      <c r="AJ1220" s="13" t="str" cm="1">
        <f t="array" ref="AJ1220">IF($C1220="","",IFERROR(TRANSPOSE(_xlfn._xlws.FILTER(Listy!$D$2:$D$60,Listy!$C$2:$C$60=$C1220)),""))</f>
        <v/>
      </c>
    </row>
    <row r="1221" spans="7:36" ht="25" customHeight="1" x14ac:dyDescent="0.35">
      <c r="G1221" s="15" t="str">
        <f t="shared" si="74"/>
        <v/>
      </c>
      <c r="H1221" s="12" t="str">
        <f t="shared" ca="1" si="75"/>
        <v/>
      </c>
      <c r="I1221" s="14"/>
      <c r="J1221" s="1" t="str">
        <f>IF(COUNTA(A1221:F3508)=0,"",IF(#REF!="","BRAK PROTOKOŁU","DODANY"))</f>
        <v/>
      </c>
      <c r="K1221" s="1"/>
      <c r="M1221" s="13" t="str" cm="1">
        <f t="array" ref="M1221">IF($A1221="","",IFERROR(TRANSPOSE(_xlfn._xlws.FILTER(Lokale!$C$3:$C$91,Lokale!$B$3:$B$91=$A1221)),""))</f>
        <v/>
      </c>
      <c r="AJ1221" s="13" t="str" cm="1">
        <f t="array" ref="AJ1221">IF($C1221="","",IFERROR(TRANSPOSE(_xlfn._xlws.FILTER(Listy!$D$2:$D$60,Listy!$C$2:$C$60=$C1221)),""))</f>
        <v/>
      </c>
    </row>
    <row r="1222" spans="7:36" ht="25" customHeight="1" x14ac:dyDescent="0.35">
      <c r="G1222" s="15" t="str">
        <f t="shared" si="74"/>
        <v/>
      </c>
      <c r="H1222" s="12" t="str">
        <f t="shared" ca="1" si="75"/>
        <v/>
      </c>
      <c r="I1222" s="14"/>
      <c r="J1222" s="1" t="str">
        <f>IF(COUNTA(A1222:F3509)=0,"",IF(#REF!="","BRAK PROTOKOŁU","DODANY"))</f>
        <v/>
      </c>
      <c r="K1222" s="1"/>
      <c r="M1222" s="13" t="str" cm="1">
        <f t="array" ref="M1222">IF($A1222="","",IFERROR(TRANSPOSE(_xlfn._xlws.FILTER(Lokale!$C$3:$C$91,Lokale!$B$3:$B$91=$A1222)),""))</f>
        <v/>
      </c>
      <c r="AJ1222" s="13" t="str" cm="1">
        <f t="array" ref="AJ1222">IF($C1222="","",IFERROR(TRANSPOSE(_xlfn._xlws.FILTER(Listy!$D$2:$D$60,Listy!$C$2:$C$60=$C1222)),""))</f>
        <v/>
      </c>
    </row>
    <row r="1223" spans="7:36" ht="25" customHeight="1" x14ac:dyDescent="0.35">
      <c r="G1223" s="15" t="str">
        <f t="shared" si="74"/>
        <v/>
      </c>
      <c r="H1223" s="12" t="str">
        <f t="shared" ca="1" si="75"/>
        <v/>
      </c>
      <c r="I1223" s="14"/>
      <c r="J1223" s="1" t="str">
        <f>IF(COUNTA(A1223:F3510)=0,"",IF(#REF!="","BRAK PROTOKOŁU","DODANY"))</f>
        <v/>
      </c>
      <c r="K1223" s="1"/>
      <c r="M1223" s="13" t="str" cm="1">
        <f t="array" ref="M1223">IF($A1223="","",IFERROR(TRANSPOSE(_xlfn._xlws.FILTER(Lokale!$C$3:$C$91,Lokale!$B$3:$B$91=$A1223)),""))</f>
        <v/>
      </c>
      <c r="AJ1223" s="13" t="str" cm="1">
        <f t="array" ref="AJ1223">IF($C1223="","",IFERROR(TRANSPOSE(_xlfn._xlws.FILTER(Listy!$D$2:$D$60,Listy!$C$2:$C$60=$C1223)),""))</f>
        <v/>
      </c>
    </row>
    <row r="1224" spans="7:36" ht="25" customHeight="1" x14ac:dyDescent="0.35">
      <c r="G1224" s="15" t="str">
        <f t="shared" si="74"/>
        <v/>
      </c>
      <c r="H1224" s="12" t="str">
        <f t="shared" ca="1" si="75"/>
        <v/>
      </c>
      <c r="I1224" s="14"/>
      <c r="J1224" s="1" t="str">
        <f>IF(COUNTA(A1224:F3511)=0,"",IF(#REF!="","BRAK PROTOKOŁU","DODANY"))</f>
        <v/>
      </c>
      <c r="K1224" s="1"/>
      <c r="M1224" s="13" t="str" cm="1">
        <f t="array" ref="M1224">IF($A1224="","",IFERROR(TRANSPOSE(_xlfn._xlws.FILTER(Lokale!$C$3:$C$91,Lokale!$B$3:$B$91=$A1224)),""))</f>
        <v/>
      </c>
      <c r="AJ1224" s="13" t="str" cm="1">
        <f t="array" ref="AJ1224">IF($C1224="","",IFERROR(TRANSPOSE(_xlfn._xlws.FILTER(Listy!$D$2:$D$60,Listy!$C$2:$C$60=$C1224)),""))</f>
        <v/>
      </c>
    </row>
    <row r="1225" spans="7:36" ht="25" customHeight="1" x14ac:dyDescent="0.35">
      <c r="G1225" s="15" t="str">
        <f t="shared" si="74"/>
        <v/>
      </c>
      <c r="H1225" s="12" t="str">
        <f t="shared" ca="1" si="75"/>
        <v/>
      </c>
      <c r="I1225" s="14"/>
      <c r="J1225" s="1" t="str">
        <f>IF(COUNTA(A1225:F3512)=0,"",IF(#REF!="","BRAK PROTOKOŁU","DODANY"))</f>
        <v/>
      </c>
      <c r="K1225" s="1"/>
      <c r="M1225" s="13" t="str" cm="1">
        <f t="array" ref="M1225">IF($A1225="","",IFERROR(TRANSPOSE(_xlfn._xlws.FILTER(Lokale!$C$3:$C$91,Lokale!$B$3:$B$91=$A1225)),""))</f>
        <v/>
      </c>
      <c r="AJ1225" s="13" t="str" cm="1">
        <f t="array" ref="AJ1225">IF($C1225="","",IFERROR(TRANSPOSE(_xlfn._xlws.FILTER(Listy!$D$2:$D$60,Listy!$C$2:$C$60=$C1225)),""))</f>
        <v/>
      </c>
    </row>
    <row r="1226" spans="7:36" ht="25" customHeight="1" x14ac:dyDescent="0.35">
      <c r="G1226" s="15" t="str">
        <f t="shared" si="74"/>
        <v/>
      </c>
      <c r="H1226" s="12" t="str">
        <f t="shared" ca="1" si="75"/>
        <v/>
      </c>
      <c r="I1226" s="14"/>
      <c r="J1226" s="1" t="str">
        <f>IF(COUNTA(A1226:F3513)=0,"",IF(#REF!="","BRAK PROTOKOŁU","DODANY"))</f>
        <v/>
      </c>
      <c r="K1226" s="1"/>
      <c r="M1226" s="13" t="str" cm="1">
        <f t="array" ref="M1226">IF($A1226="","",IFERROR(TRANSPOSE(_xlfn._xlws.FILTER(Lokale!$C$3:$C$91,Lokale!$B$3:$B$91=$A1226)),""))</f>
        <v/>
      </c>
      <c r="AJ1226" s="13" t="str" cm="1">
        <f t="array" ref="AJ1226">IF($C1226="","",IFERROR(TRANSPOSE(_xlfn._xlws.FILTER(Listy!$D$2:$D$60,Listy!$C$2:$C$60=$C1226)),""))</f>
        <v/>
      </c>
    </row>
    <row r="1227" spans="7:36" ht="25" customHeight="1" x14ac:dyDescent="0.35">
      <c r="G1227" s="15" t="str">
        <f t="shared" si="74"/>
        <v/>
      </c>
      <c r="H1227" s="12" t="str">
        <f t="shared" ca="1" si="75"/>
        <v/>
      </c>
      <c r="I1227" s="14"/>
      <c r="J1227" s="1" t="str">
        <f>IF(COUNTA(A1227:F3514)=0,"",IF(#REF!="","BRAK PROTOKOŁU","DODANY"))</f>
        <v/>
      </c>
      <c r="K1227" s="1"/>
      <c r="M1227" s="13" t="str" cm="1">
        <f t="array" ref="M1227">IF($A1227="","",IFERROR(TRANSPOSE(_xlfn._xlws.FILTER(Lokale!$C$3:$C$91,Lokale!$B$3:$B$91=$A1227)),""))</f>
        <v/>
      </c>
      <c r="AJ1227" s="13" t="str" cm="1">
        <f t="array" ref="AJ1227">IF($C1227="","",IFERROR(TRANSPOSE(_xlfn._xlws.FILTER(Listy!$D$2:$D$60,Listy!$C$2:$C$60=$C1227)),""))</f>
        <v/>
      </c>
    </row>
    <row r="1228" spans="7:36" ht="25" customHeight="1" x14ac:dyDescent="0.35">
      <c r="G1228" s="15" t="str">
        <f t="shared" si="74"/>
        <v/>
      </c>
      <c r="H1228" s="12" t="str">
        <f t="shared" ca="1" si="75"/>
        <v/>
      </c>
      <c r="I1228" s="14"/>
      <c r="J1228" s="1" t="str">
        <f>IF(COUNTA(A1228:F3515)=0,"",IF(#REF!="","BRAK PROTOKOŁU","DODANY"))</f>
        <v/>
      </c>
      <c r="K1228" s="1"/>
      <c r="M1228" s="13" t="str" cm="1">
        <f t="array" ref="M1228">IF($A1228="","",IFERROR(TRANSPOSE(_xlfn._xlws.FILTER(Lokale!$C$3:$C$91,Lokale!$B$3:$B$91=$A1228)),""))</f>
        <v/>
      </c>
      <c r="AJ1228" s="13" t="str" cm="1">
        <f t="array" ref="AJ1228">IF($C1228="","",IFERROR(TRANSPOSE(_xlfn._xlws.FILTER(Listy!$D$2:$D$60,Listy!$C$2:$C$60=$C1228)),""))</f>
        <v/>
      </c>
    </row>
    <row r="1229" spans="7:36" ht="25" customHeight="1" x14ac:dyDescent="0.35">
      <c r="G1229" s="15" t="str">
        <f t="shared" si="74"/>
        <v/>
      </c>
      <c r="H1229" s="12" t="str">
        <f t="shared" ca="1" si="75"/>
        <v/>
      </c>
      <c r="I1229" s="14"/>
      <c r="J1229" s="1" t="str">
        <f>IF(COUNTA(A1229:F3516)=0,"",IF(#REF!="","BRAK PROTOKOŁU","DODANY"))</f>
        <v/>
      </c>
      <c r="K1229" s="1"/>
      <c r="M1229" s="13" t="str" cm="1">
        <f t="array" ref="M1229">IF($A1229="","",IFERROR(TRANSPOSE(_xlfn._xlws.FILTER(Lokale!$C$3:$C$91,Lokale!$B$3:$B$91=$A1229)),""))</f>
        <v/>
      </c>
      <c r="AJ1229" s="13" t="str" cm="1">
        <f t="array" ref="AJ1229">IF($C1229="","",IFERROR(TRANSPOSE(_xlfn._xlws.FILTER(Listy!$D$2:$D$60,Listy!$C$2:$C$60=$C1229)),""))</f>
        <v/>
      </c>
    </row>
    <row r="1230" spans="7:36" ht="25" customHeight="1" x14ac:dyDescent="0.35">
      <c r="G1230" s="15" t="str">
        <f t="shared" si="74"/>
        <v/>
      </c>
      <c r="H1230" s="12" t="str">
        <f t="shared" ca="1" si="75"/>
        <v/>
      </c>
      <c r="I1230" s="14"/>
      <c r="J1230" s="1" t="str">
        <f>IF(COUNTA(A1230:F3517)=0,"",IF(#REF!="","BRAK PROTOKOŁU","DODANY"))</f>
        <v/>
      </c>
      <c r="K1230" s="1"/>
      <c r="M1230" s="13" t="str" cm="1">
        <f t="array" ref="M1230">IF($A1230="","",IFERROR(TRANSPOSE(_xlfn._xlws.FILTER(Lokale!$C$3:$C$91,Lokale!$B$3:$B$91=$A1230)),""))</f>
        <v/>
      </c>
      <c r="AJ1230" s="13" t="str" cm="1">
        <f t="array" ref="AJ1230">IF($C1230="","",IFERROR(TRANSPOSE(_xlfn._xlws.FILTER(Listy!$D$2:$D$60,Listy!$C$2:$C$60=$C1230)),""))</f>
        <v/>
      </c>
    </row>
    <row r="1231" spans="7:36" ht="25" customHeight="1" x14ac:dyDescent="0.35">
      <c r="G1231" s="15" t="str">
        <f t="shared" si="74"/>
        <v/>
      </c>
      <c r="H1231" s="12" t="str">
        <f t="shared" ca="1" si="75"/>
        <v/>
      </c>
      <c r="I1231" s="14"/>
      <c r="J1231" s="1" t="str">
        <f>IF(COUNTA(A1231:F3518)=0,"",IF(#REF!="","BRAK PROTOKOŁU","DODANY"))</f>
        <v/>
      </c>
      <c r="K1231" s="1"/>
      <c r="M1231" s="13" t="str" cm="1">
        <f t="array" ref="M1231">IF($A1231="","",IFERROR(TRANSPOSE(_xlfn._xlws.FILTER(Lokale!$C$3:$C$91,Lokale!$B$3:$B$91=$A1231)),""))</f>
        <v/>
      </c>
      <c r="AJ1231" s="13" t="str" cm="1">
        <f t="array" ref="AJ1231">IF($C1231="","",IFERROR(TRANSPOSE(_xlfn._xlws.FILTER(Listy!$D$2:$D$60,Listy!$C$2:$C$60=$C1231)),""))</f>
        <v/>
      </c>
    </row>
    <row r="1232" spans="7:36" ht="25" customHeight="1" x14ac:dyDescent="0.35">
      <c r="G1232" s="15" t="str">
        <f t="shared" si="74"/>
        <v/>
      </c>
      <c r="H1232" s="12" t="str">
        <f t="shared" ca="1" si="75"/>
        <v/>
      </c>
      <c r="I1232" s="14"/>
      <c r="J1232" s="1" t="str">
        <f>IF(COUNTA(A1232:F3519)=0,"",IF(#REF!="","BRAK PROTOKOŁU","DODANY"))</f>
        <v/>
      </c>
      <c r="K1232" s="1"/>
      <c r="M1232" s="13" t="str" cm="1">
        <f t="array" ref="M1232">IF($A1232="","",IFERROR(TRANSPOSE(_xlfn._xlws.FILTER(Lokale!$C$3:$C$91,Lokale!$B$3:$B$91=$A1232)),""))</f>
        <v/>
      </c>
      <c r="AJ1232" s="13" t="str" cm="1">
        <f t="array" ref="AJ1232">IF($C1232="","",IFERROR(TRANSPOSE(_xlfn._xlws.FILTER(Listy!$D$2:$D$60,Listy!$C$2:$C$60=$C1232)),""))</f>
        <v/>
      </c>
    </row>
    <row r="1233" spans="7:36" ht="25" customHeight="1" x14ac:dyDescent="0.35">
      <c r="G1233" s="15" t="str">
        <f t="shared" si="74"/>
        <v/>
      </c>
      <c r="H1233" s="12" t="str">
        <f t="shared" ca="1" si="75"/>
        <v/>
      </c>
      <c r="I1233" s="14"/>
      <c r="J1233" s="1" t="str">
        <f>IF(COUNTA(A1233:F3520)=0,"",IF(#REF!="","BRAK PROTOKOŁU","DODANY"))</f>
        <v/>
      </c>
      <c r="K1233" s="1"/>
      <c r="M1233" s="13" t="str" cm="1">
        <f t="array" ref="M1233">IF($A1233="","",IFERROR(TRANSPOSE(_xlfn._xlws.FILTER(Lokale!$C$3:$C$91,Lokale!$B$3:$B$91=$A1233)),""))</f>
        <v/>
      </c>
      <c r="AJ1233" s="13" t="str" cm="1">
        <f t="array" ref="AJ1233">IF($C1233="","",IFERROR(TRANSPOSE(_xlfn._xlws.FILTER(Listy!$D$2:$D$60,Listy!$C$2:$C$60=$C1233)),""))</f>
        <v/>
      </c>
    </row>
    <row r="1234" spans="7:36" ht="25" customHeight="1" x14ac:dyDescent="0.35">
      <c r="G1234" s="15" t="str">
        <f t="shared" si="74"/>
        <v/>
      </c>
      <c r="H1234" s="12" t="str">
        <f t="shared" ca="1" si="75"/>
        <v/>
      </c>
      <c r="I1234" s="14"/>
      <c r="J1234" s="1" t="str">
        <f>IF(COUNTA(A1234:F3521)=0,"",IF(#REF!="","BRAK PROTOKOŁU","DODANY"))</f>
        <v/>
      </c>
      <c r="K1234" s="1"/>
      <c r="M1234" s="13" t="str" cm="1">
        <f t="array" ref="M1234">IF($A1234="","",IFERROR(TRANSPOSE(_xlfn._xlws.FILTER(Lokale!$C$3:$C$91,Lokale!$B$3:$B$91=$A1234)),""))</f>
        <v/>
      </c>
      <c r="AJ1234" s="13" t="str" cm="1">
        <f t="array" ref="AJ1234">IF($C1234="","",IFERROR(TRANSPOSE(_xlfn._xlws.FILTER(Listy!$D$2:$D$60,Listy!$C$2:$C$60=$C1234)),""))</f>
        <v/>
      </c>
    </row>
    <row r="1235" spans="7:36" ht="25" customHeight="1" x14ac:dyDescent="0.35">
      <c r="G1235" s="15" t="str">
        <f t="shared" si="74"/>
        <v/>
      </c>
      <c r="H1235" s="12" t="str">
        <f t="shared" ca="1" si="75"/>
        <v/>
      </c>
      <c r="I1235" s="14"/>
      <c r="J1235" s="1" t="str">
        <f>IF(COUNTA(A1235:F3522)=0,"",IF(#REF!="","BRAK PROTOKOŁU","DODANY"))</f>
        <v/>
      </c>
      <c r="K1235" s="1"/>
      <c r="M1235" s="13" t="str" cm="1">
        <f t="array" ref="M1235">IF($A1235="","",IFERROR(TRANSPOSE(_xlfn._xlws.FILTER(Lokale!$C$3:$C$91,Lokale!$B$3:$B$91=$A1235)),""))</f>
        <v/>
      </c>
      <c r="AJ1235" s="13" t="str" cm="1">
        <f t="array" ref="AJ1235">IF($C1235="","",IFERROR(TRANSPOSE(_xlfn._xlws.FILTER(Listy!$D$2:$D$60,Listy!$C$2:$C$60=$C1235)),""))</f>
        <v/>
      </c>
    </row>
    <row r="1236" spans="7:36" ht="25" customHeight="1" x14ac:dyDescent="0.35">
      <c r="G1236" s="15" t="str">
        <f t="shared" si="74"/>
        <v/>
      </c>
      <c r="H1236" s="12" t="str">
        <f t="shared" ca="1" si="75"/>
        <v/>
      </c>
      <c r="I1236" s="14"/>
      <c r="J1236" s="1" t="str">
        <f>IF(COUNTA(A1236:F3523)=0,"",IF(#REF!="","BRAK PROTOKOŁU","DODANY"))</f>
        <v/>
      </c>
      <c r="K1236" s="1"/>
      <c r="M1236" s="13" t="str" cm="1">
        <f t="array" ref="M1236">IF($A1236="","",IFERROR(TRANSPOSE(_xlfn._xlws.FILTER(Lokale!$C$3:$C$91,Lokale!$B$3:$B$91=$A1236)),""))</f>
        <v/>
      </c>
      <c r="AJ1236" s="13" t="str" cm="1">
        <f t="array" ref="AJ1236">IF($C1236="","",IFERROR(TRANSPOSE(_xlfn._xlws.FILTER(Listy!$D$2:$D$60,Listy!$C$2:$C$60=$C1236)),""))</f>
        <v/>
      </c>
    </row>
    <row r="1237" spans="7:36" ht="25" customHeight="1" x14ac:dyDescent="0.35">
      <c r="G1237" s="15" t="str">
        <f t="shared" si="74"/>
        <v/>
      </c>
      <c r="H1237" s="12" t="str">
        <f t="shared" ca="1" si="75"/>
        <v/>
      </c>
      <c r="I1237" s="14"/>
      <c r="J1237" s="1" t="str">
        <f>IF(COUNTA(A1237:F3524)=0,"",IF(#REF!="","BRAK PROTOKOŁU","DODANY"))</f>
        <v/>
      </c>
      <c r="K1237" s="1"/>
      <c r="M1237" s="13" t="str" cm="1">
        <f t="array" ref="M1237">IF($A1237="","",IFERROR(TRANSPOSE(_xlfn._xlws.FILTER(Lokale!$C$3:$C$91,Lokale!$B$3:$B$91=$A1237)),""))</f>
        <v/>
      </c>
      <c r="AJ1237" s="13" t="str" cm="1">
        <f t="array" ref="AJ1237">IF($C1237="","",IFERROR(TRANSPOSE(_xlfn._xlws.FILTER(Listy!$D$2:$D$60,Listy!$C$2:$C$60=$C1237)),""))</f>
        <v/>
      </c>
    </row>
    <row r="1238" spans="7:36" ht="25" customHeight="1" x14ac:dyDescent="0.35">
      <c r="G1238" s="15" t="str">
        <f t="shared" si="74"/>
        <v/>
      </c>
      <c r="H1238" s="12" t="str">
        <f t="shared" ca="1" si="75"/>
        <v/>
      </c>
      <c r="I1238" s="14"/>
      <c r="J1238" s="1" t="str">
        <f>IF(COUNTA(A1238:F3525)=0,"",IF(#REF!="","BRAK PROTOKOŁU","DODANY"))</f>
        <v/>
      </c>
      <c r="K1238" s="1"/>
      <c r="M1238" s="13" t="str" cm="1">
        <f t="array" ref="M1238">IF($A1238="","",IFERROR(TRANSPOSE(_xlfn._xlws.FILTER(Lokale!$C$3:$C$91,Lokale!$B$3:$B$91=$A1238)),""))</f>
        <v/>
      </c>
      <c r="AJ1238" s="13" t="str" cm="1">
        <f t="array" ref="AJ1238">IF($C1238="","",IFERROR(TRANSPOSE(_xlfn._xlws.FILTER(Listy!$D$2:$D$60,Listy!$C$2:$C$60=$C1238)),""))</f>
        <v/>
      </c>
    </row>
    <row r="1239" spans="7:36" ht="25" customHeight="1" x14ac:dyDescent="0.35">
      <c r="G1239" s="15" t="str">
        <f t="shared" si="74"/>
        <v/>
      </c>
      <c r="H1239" s="12" t="str">
        <f t="shared" ca="1" si="75"/>
        <v/>
      </c>
      <c r="I1239" s="14"/>
      <c r="J1239" s="1" t="str">
        <f>IF(COUNTA(A1239:F3526)=0,"",IF(#REF!="","BRAK PROTOKOŁU","DODANY"))</f>
        <v/>
      </c>
      <c r="K1239" s="1"/>
      <c r="M1239" s="13" t="str" cm="1">
        <f t="array" ref="M1239">IF($A1239="","",IFERROR(TRANSPOSE(_xlfn._xlws.FILTER(Lokale!$C$3:$C$91,Lokale!$B$3:$B$91=$A1239)),""))</f>
        <v/>
      </c>
      <c r="AJ1239" s="13" t="str" cm="1">
        <f t="array" ref="AJ1239">IF($C1239="","",IFERROR(TRANSPOSE(_xlfn._xlws.FILTER(Listy!$D$2:$D$60,Listy!$C$2:$C$60=$C1239)),""))</f>
        <v/>
      </c>
    </row>
    <row r="1240" spans="7:36" ht="25" customHeight="1" x14ac:dyDescent="0.35">
      <c r="G1240" s="15" t="str">
        <f t="shared" si="74"/>
        <v/>
      </c>
      <c r="H1240" s="12" t="str">
        <f t="shared" ca="1" si="75"/>
        <v/>
      </c>
      <c r="I1240" s="14"/>
      <c r="J1240" s="1" t="str">
        <f>IF(COUNTA(A1240:F3527)=0,"",IF(#REF!="","BRAK PROTOKOŁU","DODANY"))</f>
        <v/>
      </c>
      <c r="K1240" s="1"/>
      <c r="M1240" s="13" t="str" cm="1">
        <f t="array" ref="M1240">IF($A1240="","",IFERROR(TRANSPOSE(_xlfn._xlws.FILTER(Lokale!$C$3:$C$91,Lokale!$B$3:$B$91=$A1240)),""))</f>
        <v/>
      </c>
      <c r="AJ1240" s="13" t="str" cm="1">
        <f t="array" ref="AJ1240">IF($C1240="","",IFERROR(TRANSPOSE(_xlfn._xlws.FILTER(Listy!$D$2:$D$60,Listy!$C$2:$C$60=$C1240)),""))</f>
        <v/>
      </c>
    </row>
    <row r="1241" spans="7:36" ht="25" customHeight="1" x14ac:dyDescent="0.35">
      <c r="G1241" s="15" t="str">
        <f t="shared" si="74"/>
        <v/>
      </c>
      <c r="H1241" s="12" t="str">
        <f t="shared" ca="1" si="75"/>
        <v/>
      </c>
      <c r="I1241" s="14"/>
      <c r="J1241" s="1" t="str">
        <f>IF(COUNTA(A1241:F3528)=0,"",IF(#REF!="","BRAK PROTOKOŁU","DODANY"))</f>
        <v/>
      </c>
      <c r="K1241" s="1"/>
      <c r="M1241" s="13" t="str" cm="1">
        <f t="array" ref="M1241">IF($A1241="","",IFERROR(TRANSPOSE(_xlfn._xlws.FILTER(Lokale!$C$3:$C$91,Lokale!$B$3:$B$91=$A1241)),""))</f>
        <v/>
      </c>
      <c r="AJ1241" s="13" t="str" cm="1">
        <f t="array" ref="AJ1241">IF($C1241="","",IFERROR(TRANSPOSE(_xlfn._xlws.FILTER(Listy!$D$2:$D$60,Listy!$C$2:$C$60=$C1241)),""))</f>
        <v/>
      </c>
    </row>
    <row r="1242" spans="7:36" ht="25" customHeight="1" x14ac:dyDescent="0.35">
      <c r="G1242" s="15" t="str">
        <f t="shared" si="74"/>
        <v/>
      </c>
      <c r="H1242" s="12" t="str">
        <f t="shared" ca="1" si="75"/>
        <v/>
      </c>
      <c r="I1242" s="14"/>
      <c r="J1242" s="1" t="str">
        <f>IF(COUNTA(A1242:F3529)=0,"",IF(#REF!="","BRAK PROTOKOŁU","DODANY"))</f>
        <v/>
      </c>
      <c r="K1242" s="1"/>
      <c r="M1242" s="13" t="str" cm="1">
        <f t="array" ref="M1242">IF($A1242="","",IFERROR(TRANSPOSE(_xlfn._xlws.FILTER(Lokale!$C$3:$C$91,Lokale!$B$3:$B$91=$A1242)),""))</f>
        <v/>
      </c>
      <c r="AJ1242" s="13" t="str" cm="1">
        <f t="array" ref="AJ1242">IF($C1242="","",IFERROR(TRANSPOSE(_xlfn._xlws.FILTER(Listy!$D$2:$D$60,Listy!$C$2:$C$60=$C1242)),""))</f>
        <v/>
      </c>
    </row>
    <row r="1243" spans="7:36" ht="25" customHeight="1" x14ac:dyDescent="0.35">
      <c r="G1243" s="15" t="str">
        <f t="shared" si="74"/>
        <v/>
      </c>
      <c r="H1243" s="12" t="str">
        <f t="shared" ca="1" si="75"/>
        <v/>
      </c>
      <c r="I1243" s="14"/>
      <c r="J1243" s="1" t="str">
        <f>IF(COUNTA(A1243:F3530)=0,"",IF(#REF!="","BRAK PROTOKOŁU","DODANY"))</f>
        <v/>
      </c>
      <c r="K1243" s="1"/>
      <c r="M1243" s="13" t="str" cm="1">
        <f t="array" ref="M1243">IF($A1243="","",IFERROR(TRANSPOSE(_xlfn._xlws.FILTER(Lokale!$C$3:$C$91,Lokale!$B$3:$B$91=$A1243)),""))</f>
        <v/>
      </c>
      <c r="AJ1243" s="13" t="str" cm="1">
        <f t="array" ref="AJ1243">IF($C1243="","",IFERROR(TRANSPOSE(_xlfn._xlws.FILTER(Listy!$D$2:$D$60,Listy!$C$2:$C$60=$C1243)),""))</f>
        <v/>
      </c>
    </row>
    <row r="1244" spans="7:36" ht="25" customHeight="1" x14ac:dyDescent="0.35">
      <c r="G1244" s="15" t="str">
        <f t="shared" si="74"/>
        <v/>
      </c>
      <c r="H1244" s="12" t="str">
        <f t="shared" ca="1" si="75"/>
        <v/>
      </c>
      <c r="I1244" s="14"/>
      <c r="J1244" s="1" t="str">
        <f>IF(COUNTA(A1244:F3531)=0,"",IF(#REF!="","BRAK PROTOKOŁU","DODANY"))</f>
        <v/>
      </c>
      <c r="K1244" s="1"/>
      <c r="M1244" s="13" t="str" cm="1">
        <f t="array" ref="M1244">IF($A1244="","",IFERROR(TRANSPOSE(_xlfn._xlws.FILTER(Lokale!$C$3:$C$91,Lokale!$B$3:$B$91=$A1244)),""))</f>
        <v/>
      </c>
      <c r="AJ1244" s="13" t="str" cm="1">
        <f t="array" ref="AJ1244">IF($C1244="","",IFERROR(TRANSPOSE(_xlfn._xlws.FILTER(Listy!$D$2:$D$60,Listy!$C$2:$C$60=$C1244)),""))</f>
        <v/>
      </c>
    </row>
    <row r="1245" spans="7:36" ht="25" customHeight="1" x14ac:dyDescent="0.35">
      <c r="G1245" s="15" t="str">
        <f t="shared" si="74"/>
        <v/>
      </c>
      <c r="H1245" s="12" t="str">
        <f t="shared" ca="1" si="75"/>
        <v/>
      </c>
      <c r="I1245" s="14"/>
      <c r="J1245" s="1" t="str">
        <f>IF(COUNTA(A1245:F3532)=0,"",IF(#REF!="","BRAK PROTOKOŁU","DODANY"))</f>
        <v/>
      </c>
      <c r="K1245" s="1"/>
      <c r="M1245" s="13" t="str" cm="1">
        <f t="array" ref="M1245">IF($A1245="","",IFERROR(TRANSPOSE(_xlfn._xlws.FILTER(Lokale!$C$3:$C$91,Lokale!$B$3:$B$91=$A1245)),""))</f>
        <v/>
      </c>
      <c r="AJ1245" s="13" t="str" cm="1">
        <f t="array" ref="AJ1245">IF($C1245="","",IFERROR(TRANSPOSE(_xlfn._xlws.FILTER(Listy!$D$2:$D$60,Listy!$C$2:$C$60=$C1245)),""))</f>
        <v/>
      </c>
    </row>
    <row r="1246" spans="7:36" ht="25" customHeight="1" x14ac:dyDescent="0.35">
      <c r="G1246" s="15" t="str">
        <f t="shared" si="74"/>
        <v/>
      </c>
      <c r="H1246" s="12" t="str">
        <f t="shared" ca="1" si="75"/>
        <v/>
      </c>
      <c r="I1246" s="14"/>
      <c r="J1246" s="1" t="str">
        <f>IF(COUNTA(A1246:F3533)=0,"",IF(#REF!="","BRAK PROTOKOŁU","DODANY"))</f>
        <v/>
      </c>
      <c r="K1246" s="1"/>
      <c r="M1246" s="13" t="str" cm="1">
        <f t="array" ref="M1246">IF($A1246="","",IFERROR(TRANSPOSE(_xlfn._xlws.FILTER(Lokale!$C$3:$C$91,Lokale!$B$3:$B$91=$A1246)),""))</f>
        <v/>
      </c>
      <c r="AJ1246" s="13" t="str" cm="1">
        <f t="array" ref="AJ1246">IF($C1246="","",IFERROR(TRANSPOSE(_xlfn._xlws.FILTER(Listy!$D$2:$D$60,Listy!$C$2:$C$60=$C1246)),""))</f>
        <v/>
      </c>
    </row>
    <row r="1247" spans="7:36" ht="25" customHeight="1" x14ac:dyDescent="0.35">
      <c r="G1247" s="15" t="str">
        <f t="shared" si="74"/>
        <v/>
      </c>
      <c r="H1247" s="12" t="str">
        <f t="shared" ca="1" si="75"/>
        <v/>
      </c>
      <c r="I1247" s="14"/>
      <c r="J1247" s="1" t="str">
        <f>IF(COUNTA(A1247:F3534)=0,"",IF(#REF!="","BRAK PROTOKOŁU","DODANY"))</f>
        <v/>
      </c>
      <c r="K1247" s="1"/>
      <c r="M1247" s="13" t="str" cm="1">
        <f t="array" ref="M1247">IF($A1247="","",IFERROR(TRANSPOSE(_xlfn._xlws.FILTER(Lokale!$C$3:$C$91,Lokale!$B$3:$B$91=$A1247)),""))</f>
        <v/>
      </c>
      <c r="AJ1247" s="13" t="str" cm="1">
        <f t="array" ref="AJ1247">IF($C1247="","",IFERROR(TRANSPOSE(_xlfn._xlws.FILTER(Listy!$D$2:$D$60,Listy!$C$2:$C$60=$C1247)),""))</f>
        <v/>
      </c>
    </row>
    <row r="1248" spans="7:36" ht="25" customHeight="1" x14ac:dyDescent="0.35">
      <c r="G1248" s="15" t="str">
        <f t="shared" si="74"/>
        <v/>
      </c>
      <c r="H1248" s="12" t="str">
        <f t="shared" ca="1" si="75"/>
        <v/>
      </c>
      <c r="I1248" s="14"/>
      <c r="J1248" s="1" t="str">
        <f>IF(COUNTA(A1248:F3535)=0,"",IF(#REF!="","BRAK PROTOKOŁU","DODANY"))</f>
        <v/>
      </c>
      <c r="K1248" s="1"/>
      <c r="M1248" s="13" t="str" cm="1">
        <f t="array" ref="M1248">IF($A1248="","",IFERROR(TRANSPOSE(_xlfn._xlws.FILTER(Lokale!$C$3:$C$91,Lokale!$B$3:$B$91=$A1248)),""))</f>
        <v/>
      </c>
      <c r="AJ1248" s="13" t="str" cm="1">
        <f t="array" ref="AJ1248">IF($C1248="","",IFERROR(TRANSPOSE(_xlfn._xlws.FILTER(Listy!$D$2:$D$60,Listy!$C$2:$C$60=$C1248)),""))</f>
        <v/>
      </c>
    </row>
    <row r="1249" spans="7:36" ht="25" customHeight="1" x14ac:dyDescent="0.35">
      <c r="G1249" s="15" t="str">
        <f t="shared" si="74"/>
        <v/>
      </c>
      <c r="H1249" s="12" t="str">
        <f t="shared" ca="1" si="75"/>
        <v/>
      </c>
      <c r="I1249" s="14"/>
      <c r="J1249" s="1" t="str">
        <f>IF(COUNTA(A1249:F3536)=0,"",IF(#REF!="","BRAK PROTOKOŁU","DODANY"))</f>
        <v/>
      </c>
      <c r="K1249" s="1"/>
      <c r="M1249" s="13" t="str" cm="1">
        <f t="array" ref="M1249">IF($A1249="","",IFERROR(TRANSPOSE(_xlfn._xlws.FILTER(Lokale!$C$3:$C$91,Lokale!$B$3:$B$91=$A1249)),""))</f>
        <v/>
      </c>
      <c r="AJ1249" s="13" t="str" cm="1">
        <f t="array" ref="AJ1249">IF($C1249="","",IFERROR(TRANSPOSE(_xlfn._xlws.FILTER(Listy!$D$2:$D$60,Listy!$C$2:$C$60=$C1249)),""))</f>
        <v/>
      </c>
    </row>
    <row r="1250" spans="7:36" ht="25" customHeight="1" x14ac:dyDescent="0.35">
      <c r="G1250" s="15" t="str">
        <f t="shared" ref="G1250:G1313" si="76">IF(OR(E1250="",F1250=""),"",DATE(YEAR(E1250),MONTH(E1250)+F1250,DAY(E1250)))</f>
        <v/>
      </c>
      <c r="H1250" s="12" t="str">
        <f t="shared" ref="H1250:H1313" ca="1" si="77">IF(G1250="","",IF(G1250&lt;TODAY(),"PO TERMINIE",IF(G1250&lt;=TODAY()+14,"DO WYKONANIA","OK")))</f>
        <v/>
      </c>
      <c r="I1250" s="14"/>
      <c r="J1250" s="1" t="str">
        <f>IF(COUNTA(A1250:F3537)=0,"",IF(#REF!="","BRAK PROTOKOŁU","DODANY"))</f>
        <v/>
      </c>
      <c r="K1250" s="1"/>
      <c r="M1250" s="13" t="str" cm="1">
        <f t="array" ref="M1250">IF($A1250="","",IFERROR(TRANSPOSE(_xlfn._xlws.FILTER(Lokale!$C$3:$C$91,Lokale!$B$3:$B$91=$A1250)),""))</f>
        <v/>
      </c>
      <c r="AJ1250" s="13" t="str" cm="1">
        <f t="array" ref="AJ1250">IF($C1250="","",IFERROR(TRANSPOSE(_xlfn._xlws.FILTER(Listy!$D$2:$D$60,Listy!$C$2:$C$60=$C1250)),""))</f>
        <v/>
      </c>
    </row>
    <row r="1251" spans="7:36" ht="25" customHeight="1" x14ac:dyDescent="0.35">
      <c r="G1251" s="15" t="str">
        <f t="shared" si="76"/>
        <v/>
      </c>
      <c r="H1251" s="12" t="str">
        <f t="shared" ca="1" si="77"/>
        <v/>
      </c>
      <c r="I1251" s="14"/>
      <c r="J1251" s="1" t="str">
        <f>IF(COUNTA(A1251:F3538)=0,"",IF(#REF!="","BRAK PROTOKOŁU","DODANY"))</f>
        <v/>
      </c>
      <c r="K1251" s="1"/>
      <c r="M1251" s="13" t="str" cm="1">
        <f t="array" ref="M1251">IF($A1251="","",IFERROR(TRANSPOSE(_xlfn._xlws.FILTER(Lokale!$C$3:$C$91,Lokale!$B$3:$B$91=$A1251)),""))</f>
        <v/>
      </c>
      <c r="AJ1251" s="13" t="str" cm="1">
        <f t="array" ref="AJ1251">IF($C1251="","",IFERROR(TRANSPOSE(_xlfn._xlws.FILTER(Listy!$D$2:$D$60,Listy!$C$2:$C$60=$C1251)),""))</f>
        <v/>
      </c>
    </row>
    <row r="1252" spans="7:36" ht="25" customHeight="1" x14ac:dyDescent="0.35">
      <c r="G1252" s="15" t="str">
        <f t="shared" si="76"/>
        <v/>
      </c>
      <c r="H1252" s="12" t="str">
        <f t="shared" ca="1" si="77"/>
        <v/>
      </c>
      <c r="I1252" s="14"/>
      <c r="J1252" s="1" t="str">
        <f>IF(COUNTA(A1252:F3539)=0,"",IF(#REF!="","BRAK PROTOKOŁU","DODANY"))</f>
        <v/>
      </c>
      <c r="K1252" s="1"/>
      <c r="M1252" s="13" t="str" cm="1">
        <f t="array" ref="M1252">IF($A1252="","",IFERROR(TRANSPOSE(_xlfn._xlws.FILTER(Lokale!$C$3:$C$91,Lokale!$B$3:$B$91=$A1252)),""))</f>
        <v/>
      </c>
      <c r="AJ1252" s="13" t="str" cm="1">
        <f t="array" ref="AJ1252">IF($C1252="","",IFERROR(TRANSPOSE(_xlfn._xlws.FILTER(Listy!$D$2:$D$60,Listy!$C$2:$C$60=$C1252)),""))</f>
        <v/>
      </c>
    </row>
    <row r="1253" spans="7:36" ht="25" customHeight="1" x14ac:dyDescent="0.35">
      <c r="G1253" s="15" t="str">
        <f t="shared" si="76"/>
        <v/>
      </c>
      <c r="H1253" s="12" t="str">
        <f t="shared" ca="1" si="77"/>
        <v/>
      </c>
      <c r="I1253" s="14"/>
      <c r="J1253" s="1" t="str">
        <f>IF(COUNTA(A1253:F3540)=0,"",IF(#REF!="","BRAK PROTOKOŁU","DODANY"))</f>
        <v/>
      </c>
      <c r="K1253" s="1"/>
      <c r="M1253" s="13" t="str" cm="1">
        <f t="array" ref="M1253">IF($A1253="","",IFERROR(TRANSPOSE(_xlfn._xlws.FILTER(Lokale!$C$3:$C$91,Lokale!$B$3:$B$91=$A1253)),""))</f>
        <v/>
      </c>
      <c r="AJ1253" s="13" t="str" cm="1">
        <f t="array" ref="AJ1253">IF($C1253="","",IFERROR(TRANSPOSE(_xlfn._xlws.FILTER(Listy!$D$2:$D$60,Listy!$C$2:$C$60=$C1253)),""))</f>
        <v/>
      </c>
    </row>
    <row r="1254" spans="7:36" ht="25" customHeight="1" x14ac:dyDescent="0.35">
      <c r="G1254" s="15" t="str">
        <f t="shared" si="76"/>
        <v/>
      </c>
      <c r="H1254" s="12" t="str">
        <f t="shared" ca="1" si="77"/>
        <v/>
      </c>
      <c r="I1254" s="14"/>
      <c r="J1254" s="1" t="str">
        <f>IF(COUNTA(A1254:F3541)=0,"",IF(#REF!="","BRAK PROTOKOŁU","DODANY"))</f>
        <v/>
      </c>
      <c r="K1254" s="1"/>
      <c r="M1254" s="13" t="str" cm="1">
        <f t="array" ref="M1254">IF($A1254="","",IFERROR(TRANSPOSE(_xlfn._xlws.FILTER(Lokale!$C$3:$C$91,Lokale!$B$3:$B$91=$A1254)),""))</f>
        <v/>
      </c>
      <c r="AJ1254" s="13" t="str" cm="1">
        <f t="array" ref="AJ1254">IF($C1254="","",IFERROR(TRANSPOSE(_xlfn._xlws.FILTER(Listy!$D$2:$D$60,Listy!$C$2:$C$60=$C1254)),""))</f>
        <v/>
      </c>
    </row>
    <row r="1255" spans="7:36" ht="25" customHeight="1" x14ac:dyDescent="0.35">
      <c r="G1255" s="15" t="str">
        <f t="shared" si="76"/>
        <v/>
      </c>
      <c r="H1255" s="12" t="str">
        <f t="shared" ca="1" si="77"/>
        <v/>
      </c>
      <c r="I1255" s="14"/>
      <c r="J1255" s="1" t="str">
        <f>IF(COUNTA(A1255:F3542)=0,"",IF(#REF!="","BRAK PROTOKOŁU","DODANY"))</f>
        <v/>
      </c>
      <c r="K1255" s="1"/>
      <c r="M1255" s="13" t="str" cm="1">
        <f t="array" ref="M1255">IF($A1255="","",IFERROR(TRANSPOSE(_xlfn._xlws.FILTER(Lokale!$C$3:$C$91,Lokale!$B$3:$B$91=$A1255)),""))</f>
        <v/>
      </c>
      <c r="AJ1255" s="13" t="str" cm="1">
        <f t="array" ref="AJ1255">IF($C1255="","",IFERROR(TRANSPOSE(_xlfn._xlws.FILTER(Listy!$D$2:$D$60,Listy!$C$2:$C$60=$C1255)),""))</f>
        <v/>
      </c>
    </row>
    <row r="1256" spans="7:36" ht="25" customHeight="1" x14ac:dyDescent="0.35">
      <c r="G1256" s="15" t="str">
        <f t="shared" si="76"/>
        <v/>
      </c>
      <c r="H1256" s="12" t="str">
        <f t="shared" ca="1" si="77"/>
        <v/>
      </c>
      <c r="I1256" s="14"/>
      <c r="J1256" s="1" t="str">
        <f>IF(COUNTA(A1256:F3543)=0,"",IF(#REF!="","BRAK PROTOKOŁU","DODANY"))</f>
        <v/>
      </c>
      <c r="K1256" s="1"/>
      <c r="M1256" s="13" t="str" cm="1">
        <f t="array" ref="M1256">IF($A1256="","",IFERROR(TRANSPOSE(_xlfn._xlws.FILTER(Lokale!$C$3:$C$91,Lokale!$B$3:$B$91=$A1256)),""))</f>
        <v/>
      </c>
      <c r="AJ1256" s="13" t="str" cm="1">
        <f t="array" ref="AJ1256">IF($C1256="","",IFERROR(TRANSPOSE(_xlfn._xlws.FILTER(Listy!$D$2:$D$60,Listy!$C$2:$C$60=$C1256)),""))</f>
        <v/>
      </c>
    </row>
    <row r="1257" spans="7:36" ht="25" customHeight="1" x14ac:dyDescent="0.35">
      <c r="G1257" s="15" t="str">
        <f t="shared" si="76"/>
        <v/>
      </c>
      <c r="H1257" s="12" t="str">
        <f t="shared" ca="1" si="77"/>
        <v/>
      </c>
      <c r="I1257" s="14"/>
      <c r="J1257" s="1" t="str">
        <f>IF(COUNTA(A1257:F3544)=0,"",IF(#REF!="","BRAK PROTOKOŁU","DODANY"))</f>
        <v/>
      </c>
      <c r="K1257" s="1"/>
      <c r="M1257" s="13" t="str" cm="1">
        <f t="array" ref="M1257">IF($A1257="","",IFERROR(TRANSPOSE(_xlfn._xlws.FILTER(Lokale!$C$3:$C$91,Lokale!$B$3:$B$91=$A1257)),""))</f>
        <v/>
      </c>
      <c r="AJ1257" s="13" t="str" cm="1">
        <f t="array" ref="AJ1257">IF($C1257="","",IFERROR(TRANSPOSE(_xlfn._xlws.FILTER(Listy!$D$2:$D$60,Listy!$C$2:$C$60=$C1257)),""))</f>
        <v/>
      </c>
    </row>
    <row r="1258" spans="7:36" ht="25" customHeight="1" x14ac:dyDescent="0.35">
      <c r="G1258" s="15" t="str">
        <f t="shared" si="76"/>
        <v/>
      </c>
      <c r="H1258" s="12" t="str">
        <f t="shared" ca="1" si="77"/>
        <v/>
      </c>
      <c r="I1258" s="14"/>
      <c r="J1258" s="1" t="str">
        <f>IF(COUNTA(A1258:F3545)=0,"",IF(#REF!="","BRAK PROTOKOŁU","DODANY"))</f>
        <v/>
      </c>
      <c r="K1258" s="1"/>
      <c r="M1258" s="13" t="str" cm="1">
        <f t="array" ref="M1258">IF($A1258="","",IFERROR(TRANSPOSE(_xlfn._xlws.FILTER(Lokale!$C$3:$C$91,Lokale!$B$3:$B$91=$A1258)),""))</f>
        <v/>
      </c>
      <c r="AJ1258" s="13" t="str" cm="1">
        <f t="array" ref="AJ1258">IF($C1258="","",IFERROR(TRANSPOSE(_xlfn._xlws.FILTER(Listy!$D$2:$D$60,Listy!$C$2:$C$60=$C1258)),""))</f>
        <v/>
      </c>
    </row>
    <row r="1259" spans="7:36" ht="25" customHeight="1" x14ac:dyDescent="0.35">
      <c r="G1259" s="15" t="str">
        <f t="shared" si="76"/>
        <v/>
      </c>
      <c r="H1259" s="12" t="str">
        <f t="shared" ca="1" si="77"/>
        <v/>
      </c>
      <c r="I1259" s="14"/>
      <c r="J1259" s="1" t="str">
        <f>IF(COUNTA(A1259:F3546)=0,"",IF(#REF!="","BRAK PROTOKOŁU","DODANY"))</f>
        <v/>
      </c>
      <c r="K1259" s="1"/>
      <c r="M1259" s="13" t="str" cm="1">
        <f t="array" ref="M1259">IF($A1259="","",IFERROR(TRANSPOSE(_xlfn._xlws.FILTER(Lokale!$C$3:$C$91,Lokale!$B$3:$B$91=$A1259)),""))</f>
        <v/>
      </c>
      <c r="AJ1259" s="13" t="str" cm="1">
        <f t="array" ref="AJ1259">IF($C1259="","",IFERROR(TRANSPOSE(_xlfn._xlws.FILTER(Listy!$D$2:$D$60,Listy!$C$2:$C$60=$C1259)),""))</f>
        <v/>
      </c>
    </row>
    <row r="1260" spans="7:36" ht="25" customHeight="1" x14ac:dyDescent="0.35">
      <c r="G1260" s="15" t="str">
        <f t="shared" si="76"/>
        <v/>
      </c>
      <c r="H1260" s="12" t="str">
        <f t="shared" ca="1" si="77"/>
        <v/>
      </c>
      <c r="I1260" s="14"/>
      <c r="J1260" s="1" t="str">
        <f>IF(COUNTA(A1260:F3547)=0,"",IF(#REF!="","BRAK PROTOKOŁU","DODANY"))</f>
        <v/>
      </c>
      <c r="K1260" s="1"/>
      <c r="M1260" s="13" t="str" cm="1">
        <f t="array" ref="M1260">IF($A1260="","",IFERROR(TRANSPOSE(_xlfn._xlws.FILTER(Lokale!$C$3:$C$91,Lokale!$B$3:$B$91=$A1260)),""))</f>
        <v/>
      </c>
      <c r="AJ1260" s="13" t="str" cm="1">
        <f t="array" ref="AJ1260">IF($C1260="","",IFERROR(TRANSPOSE(_xlfn._xlws.FILTER(Listy!$D$2:$D$60,Listy!$C$2:$C$60=$C1260)),""))</f>
        <v/>
      </c>
    </row>
    <row r="1261" spans="7:36" ht="25" customHeight="1" x14ac:dyDescent="0.35">
      <c r="G1261" s="15" t="str">
        <f t="shared" si="76"/>
        <v/>
      </c>
      <c r="H1261" s="12" t="str">
        <f t="shared" ca="1" si="77"/>
        <v/>
      </c>
      <c r="I1261" s="14"/>
      <c r="J1261" s="1" t="str">
        <f>IF(COUNTA(A1261:F3548)=0,"",IF(#REF!="","BRAK PROTOKOŁU","DODANY"))</f>
        <v/>
      </c>
      <c r="K1261" s="1"/>
      <c r="M1261" s="13" t="str" cm="1">
        <f t="array" ref="M1261">IF($A1261="","",IFERROR(TRANSPOSE(_xlfn._xlws.FILTER(Lokale!$C$3:$C$91,Lokale!$B$3:$B$91=$A1261)),""))</f>
        <v/>
      </c>
      <c r="AJ1261" s="13" t="str" cm="1">
        <f t="array" ref="AJ1261">IF($C1261="","",IFERROR(TRANSPOSE(_xlfn._xlws.FILTER(Listy!$D$2:$D$60,Listy!$C$2:$C$60=$C1261)),""))</f>
        <v/>
      </c>
    </row>
    <row r="1262" spans="7:36" ht="25" customHeight="1" x14ac:dyDescent="0.35">
      <c r="G1262" s="15" t="str">
        <f t="shared" si="76"/>
        <v/>
      </c>
      <c r="H1262" s="12" t="str">
        <f t="shared" ca="1" si="77"/>
        <v/>
      </c>
      <c r="I1262" s="14"/>
      <c r="J1262" s="1" t="str">
        <f>IF(COUNTA(A1262:F3549)=0,"",IF(#REF!="","BRAK PROTOKOŁU","DODANY"))</f>
        <v/>
      </c>
      <c r="K1262" s="1"/>
      <c r="M1262" s="13" t="str" cm="1">
        <f t="array" ref="M1262">IF($A1262="","",IFERROR(TRANSPOSE(_xlfn._xlws.FILTER(Lokale!$C$3:$C$91,Lokale!$B$3:$B$91=$A1262)),""))</f>
        <v/>
      </c>
      <c r="AJ1262" s="13" t="str" cm="1">
        <f t="array" ref="AJ1262">IF($C1262="","",IFERROR(TRANSPOSE(_xlfn._xlws.FILTER(Listy!$D$2:$D$60,Listy!$C$2:$C$60=$C1262)),""))</f>
        <v/>
      </c>
    </row>
    <row r="1263" spans="7:36" ht="25" customHeight="1" x14ac:dyDescent="0.35">
      <c r="G1263" s="15" t="str">
        <f t="shared" si="76"/>
        <v/>
      </c>
      <c r="H1263" s="12" t="str">
        <f t="shared" ca="1" si="77"/>
        <v/>
      </c>
      <c r="I1263" s="14"/>
      <c r="J1263" s="1" t="str">
        <f>IF(COUNTA(A1263:F3550)=0,"",IF(#REF!="","BRAK PROTOKOŁU","DODANY"))</f>
        <v/>
      </c>
      <c r="K1263" s="1"/>
      <c r="M1263" s="13" t="str" cm="1">
        <f t="array" ref="M1263">IF($A1263="","",IFERROR(TRANSPOSE(_xlfn._xlws.FILTER(Lokale!$C$3:$C$91,Lokale!$B$3:$B$91=$A1263)),""))</f>
        <v/>
      </c>
      <c r="AJ1263" s="13" t="str" cm="1">
        <f t="array" ref="AJ1263">IF($C1263="","",IFERROR(TRANSPOSE(_xlfn._xlws.FILTER(Listy!$D$2:$D$60,Listy!$C$2:$C$60=$C1263)),""))</f>
        <v/>
      </c>
    </row>
    <row r="1264" spans="7:36" ht="25" customHeight="1" x14ac:dyDescent="0.35">
      <c r="G1264" s="15" t="str">
        <f t="shared" si="76"/>
        <v/>
      </c>
      <c r="H1264" s="12" t="str">
        <f t="shared" ca="1" si="77"/>
        <v/>
      </c>
      <c r="I1264" s="14"/>
      <c r="J1264" s="1" t="str">
        <f>IF(COUNTA(A1264:F3551)=0,"",IF(#REF!="","BRAK PROTOKOŁU","DODANY"))</f>
        <v/>
      </c>
      <c r="K1264" s="1"/>
      <c r="M1264" s="13" t="str" cm="1">
        <f t="array" ref="M1264">IF($A1264="","",IFERROR(TRANSPOSE(_xlfn._xlws.FILTER(Lokale!$C$3:$C$91,Lokale!$B$3:$B$91=$A1264)),""))</f>
        <v/>
      </c>
      <c r="AJ1264" s="13" t="str" cm="1">
        <f t="array" ref="AJ1264">IF($C1264="","",IFERROR(TRANSPOSE(_xlfn._xlws.FILTER(Listy!$D$2:$D$60,Listy!$C$2:$C$60=$C1264)),""))</f>
        <v/>
      </c>
    </row>
    <row r="1265" spans="7:36" ht="25" customHeight="1" x14ac:dyDescent="0.35">
      <c r="G1265" s="15" t="str">
        <f t="shared" si="76"/>
        <v/>
      </c>
      <c r="H1265" s="12" t="str">
        <f t="shared" ca="1" si="77"/>
        <v/>
      </c>
      <c r="I1265" s="14"/>
      <c r="J1265" s="1" t="str">
        <f>IF(COUNTA(A1265:F3552)=0,"",IF(#REF!="","BRAK PROTOKOŁU","DODANY"))</f>
        <v/>
      </c>
      <c r="K1265" s="1"/>
      <c r="M1265" s="13" t="str" cm="1">
        <f t="array" ref="M1265">IF($A1265="","",IFERROR(TRANSPOSE(_xlfn._xlws.FILTER(Lokale!$C$3:$C$91,Lokale!$B$3:$B$91=$A1265)),""))</f>
        <v/>
      </c>
      <c r="AJ1265" s="13" t="str" cm="1">
        <f t="array" ref="AJ1265">IF($C1265="","",IFERROR(TRANSPOSE(_xlfn._xlws.FILTER(Listy!$D$2:$D$60,Listy!$C$2:$C$60=$C1265)),""))</f>
        <v/>
      </c>
    </row>
    <row r="1266" spans="7:36" ht="25" customHeight="1" x14ac:dyDescent="0.35">
      <c r="G1266" s="15" t="str">
        <f t="shared" si="76"/>
        <v/>
      </c>
      <c r="H1266" s="12" t="str">
        <f t="shared" ca="1" si="77"/>
        <v/>
      </c>
      <c r="I1266" s="14"/>
      <c r="J1266" s="1" t="str">
        <f>IF(COUNTA(A1266:F3553)=0,"",IF(#REF!="","BRAK PROTOKOŁU","DODANY"))</f>
        <v/>
      </c>
      <c r="K1266" s="1"/>
      <c r="M1266" s="13" t="str" cm="1">
        <f t="array" ref="M1266">IF($A1266="","",IFERROR(TRANSPOSE(_xlfn._xlws.FILTER(Lokale!$C$3:$C$91,Lokale!$B$3:$B$91=$A1266)),""))</f>
        <v/>
      </c>
      <c r="AJ1266" s="13" t="str" cm="1">
        <f t="array" ref="AJ1266">IF($C1266="","",IFERROR(TRANSPOSE(_xlfn._xlws.FILTER(Listy!$D$2:$D$60,Listy!$C$2:$C$60=$C1266)),""))</f>
        <v/>
      </c>
    </row>
    <row r="1267" spans="7:36" ht="25" customHeight="1" x14ac:dyDescent="0.35">
      <c r="G1267" s="15" t="str">
        <f t="shared" si="76"/>
        <v/>
      </c>
      <c r="H1267" s="12" t="str">
        <f t="shared" ca="1" si="77"/>
        <v/>
      </c>
      <c r="I1267" s="14"/>
      <c r="J1267" s="1" t="str">
        <f>IF(COUNTA(A1267:F3554)=0,"",IF(#REF!="","BRAK PROTOKOŁU","DODANY"))</f>
        <v/>
      </c>
      <c r="K1267" s="1"/>
      <c r="M1267" s="13" t="str" cm="1">
        <f t="array" ref="M1267">IF($A1267="","",IFERROR(TRANSPOSE(_xlfn._xlws.FILTER(Lokale!$C$3:$C$91,Lokale!$B$3:$B$91=$A1267)),""))</f>
        <v/>
      </c>
      <c r="AJ1267" s="13" t="str" cm="1">
        <f t="array" ref="AJ1267">IF($C1267="","",IFERROR(TRANSPOSE(_xlfn._xlws.FILTER(Listy!$D$2:$D$60,Listy!$C$2:$C$60=$C1267)),""))</f>
        <v/>
      </c>
    </row>
    <row r="1268" spans="7:36" ht="25" customHeight="1" x14ac:dyDescent="0.35">
      <c r="G1268" s="15" t="str">
        <f t="shared" si="76"/>
        <v/>
      </c>
      <c r="H1268" s="12" t="str">
        <f t="shared" ca="1" si="77"/>
        <v/>
      </c>
      <c r="I1268" s="14"/>
      <c r="J1268" s="1" t="str">
        <f>IF(COUNTA(A1268:F3555)=0,"",IF(#REF!="","BRAK PROTOKOŁU","DODANY"))</f>
        <v/>
      </c>
      <c r="K1268" s="1"/>
      <c r="M1268" s="13" t="str" cm="1">
        <f t="array" ref="M1268">IF($A1268="","",IFERROR(TRANSPOSE(_xlfn._xlws.FILTER(Lokale!$C$3:$C$91,Lokale!$B$3:$B$91=$A1268)),""))</f>
        <v/>
      </c>
      <c r="AJ1268" s="13" t="str" cm="1">
        <f t="array" ref="AJ1268">IF($C1268="","",IFERROR(TRANSPOSE(_xlfn._xlws.FILTER(Listy!$D$2:$D$60,Listy!$C$2:$C$60=$C1268)),""))</f>
        <v/>
      </c>
    </row>
    <row r="1269" spans="7:36" ht="25" customHeight="1" x14ac:dyDescent="0.35">
      <c r="G1269" s="15" t="str">
        <f t="shared" si="76"/>
        <v/>
      </c>
      <c r="H1269" s="12" t="str">
        <f t="shared" ca="1" si="77"/>
        <v/>
      </c>
      <c r="I1269" s="14"/>
      <c r="J1269" s="1" t="str">
        <f>IF(COUNTA(A1269:F3556)=0,"",IF(#REF!="","BRAK PROTOKOŁU","DODANY"))</f>
        <v/>
      </c>
      <c r="K1269" s="1"/>
      <c r="M1269" s="13" t="str" cm="1">
        <f t="array" ref="M1269">IF($A1269="","",IFERROR(TRANSPOSE(_xlfn._xlws.FILTER(Lokale!$C$3:$C$91,Lokale!$B$3:$B$91=$A1269)),""))</f>
        <v/>
      </c>
      <c r="AJ1269" s="13" t="str" cm="1">
        <f t="array" ref="AJ1269">IF($C1269="","",IFERROR(TRANSPOSE(_xlfn._xlws.FILTER(Listy!$D$2:$D$60,Listy!$C$2:$C$60=$C1269)),""))</f>
        <v/>
      </c>
    </row>
    <row r="1270" spans="7:36" ht="25" customHeight="1" x14ac:dyDescent="0.35">
      <c r="G1270" s="15" t="str">
        <f t="shared" si="76"/>
        <v/>
      </c>
      <c r="H1270" s="12" t="str">
        <f t="shared" ca="1" si="77"/>
        <v/>
      </c>
      <c r="I1270" s="14"/>
      <c r="J1270" s="1" t="str">
        <f>IF(COUNTA(A1270:F3557)=0,"",IF(#REF!="","BRAK PROTOKOŁU","DODANY"))</f>
        <v/>
      </c>
      <c r="K1270" s="1"/>
      <c r="M1270" s="13" t="str" cm="1">
        <f t="array" ref="M1270">IF($A1270="","",IFERROR(TRANSPOSE(_xlfn._xlws.FILTER(Lokale!$C$3:$C$91,Lokale!$B$3:$B$91=$A1270)),""))</f>
        <v/>
      </c>
      <c r="AJ1270" s="13" t="str" cm="1">
        <f t="array" ref="AJ1270">IF($C1270="","",IFERROR(TRANSPOSE(_xlfn._xlws.FILTER(Listy!$D$2:$D$60,Listy!$C$2:$C$60=$C1270)),""))</f>
        <v/>
      </c>
    </row>
    <row r="1271" spans="7:36" ht="25" customHeight="1" x14ac:dyDescent="0.35">
      <c r="G1271" s="15" t="str">
        <f t="shared" si="76"/>
        <v/>
      </c>
      <c r="H1271" s="12" t="str">
        <f t="shared" ca="1" si="77"/>
        <v/>
      </c>
      <c r="I1271" s="14"/>
      <c r="J1271" s="1" t="str">
        <f>IF(COUNTA(A1271:F3558)=0,"",IF(#REF!="","BRAK PROTOKOŁU","DODANY"))</f>
        <v/>
      </c>
      <c r="K1271" s="1"/>
      <c r="M1271" s="13" t="str" cm="1">
        <f t="array" ref="M1271">IF($A1271="","",IFERROR(TRANSPOSE(_xlfn._xlws.FILTER(Lokale!$C$3:$C$91,Lokale!$B$3:$B$91=$A1271)),""))</f>
        <v/>
      </c>
      <c r="AJ1271" s="13" t="str" cm="1">
        <f t="array" ref="AJ1271">IF($C1271="","",IFERROR(TRANSPOSE(_xlfn._xlws.FILTER(Listy!$D$2:$D$60,Listy!$C$2:$C$60=$C1271)),""))</f>
        <v/>
      </c>
    </row>
    <row r="1272" spans="7:36" ht="25" customHeight="1" x14ac:dyDescent="0.35">
      <c r="G1272" s="15" t="str">
        <f t="shared" si="76"/>
        <v/>
      </c>
      <c r="H1272" s="12" t="str">
        <f t="shared" ca="1" si="77"/>
        <v/>
      </c>
      <c r="I1272" s="14"/>
      <c r="J1272" s="1" t="str">
        <f>IF(COUNTA(A1272:F3559)=0,"",IF(#REF!="","BRAK PROTOKOŁU","DODANY"))</f>
        <v/>
      </c>
      <c r="K1272" s="1"/>
      <c r="M1272" s="13" t="str" cm="1">
        <f t="array" ref="M1272">IF($A1272="","",IFERROR(TRANSPOSE(_xlfn._xlws.FILTER(Lokale!$C$3:$C$91,Lokale!$B$3:$B$91=$A1272)),""))</f>
        <v/>
      </c>
      <c r="AJ1272" s="13" t="str" cm="1">
        <f t="array" ref="AJ1272">IF($C1272="","",IFERROR(TRANSPOSE(_xlfn._xlws.FILTER(Listy!$D$2:$D$60,Listy!$C$2:$C$60=$C1272)),""))</f>
        <v/>
      </c>
    </row>
    <row r="1273" spans="7:36" ht="25" customHeight="1" x14ac:dyDescent="0.35">
      <c r="G1273" s="15" t="str">
        <f t="shared" si="76"/>
        <v/>
      </c>
      <c r="H1273" s="12" t="str">
        <f t="shared" ca="1" si="77"/>
        <v/>
      </c>
      <c r="I1273" s="14"/>
      <c r="J1273" s="1" t="str">
        <f>IF(COUNTA(A1273:F3560)=0,"",IF(#REF!="","BRAK PROTOKOŁU","DODANY"))</f>
        <v/>
      </c>
      <c r="K1273" s="1"/>
      <c r="M1273" s="13" t="str" cm="1">
        <f t="array" ref="M1273">IF($A1273="","",IFERROR(TRANSPOSE(_xlfn._xlws.FILTER(Lokale!$C$3:$C$91,Lokale!$B$3:$B$91=$A1273)),""))</f>
        <v/>
      </c>
      <c r="AJ1273" s="13" t="str" cm="1">
        <f t="array" ref="AJ1273">IF($C1273="","",IFERROR(TRANSPOSE(_xlfn._xlws.FILTER(Listy!$D$2:$D$60,Listy!$C$2:$C$60=$C1273)),""))</f>
        <v/>
      </c>
    </row>
    <row r="1274" spans="7:36" ht="25" customHeight="1" x14ac:dyDescent="0.35">
      <c r="G1274" s="15" t="str">
        <f t="shared" si="76"/>
        <v/>
      </c>
      <c r="H1274" s="12" t="str">
        <f t="shared" ca="1" si="77"/>
        <v/>
      </c>
      <c r="I1274" s="14"/>
      <c r="J1274" s="1" t="str">
        <f>IF(COUNTA(A1274:F3561)=0,"",IF(#REF!="","BRAK PROTOKOŁU","DODANY"))</f>
        <v/>
      </c>
      <c r="K1274" s="1"/>
      <c r="M1274" s="13" t="str" cm="1">
        <f t="array" ref="M1274">IF($A1274="","",IFERROR(TRANSPOSE(_xlfn._xlws.FILTER(Lokale!$C$3:$C$91,Lokale!$B$3:$B$91=$A1274)),""))</f>
        <v/>
      </c>
      <c r="AJ1274" s="13" t="str" cm="1">
        <f t="array" ref="AJ1274">IF($C1274="","",IFERROR(TRANSPOSE(_xlfn._xlws.FILTER(Listy!$D$2:$D$60,Listy!$C$2:$C$60=$C1274)),""))</f>
        <v/>
      </c>
    </row>
    <row r="1275" spans="7:36" ht="25" customHeight="1" x14ac:dyDescent="0.35">
      <c r="G1275" s="15" t="str">
        <f t="shared" si="76"/>
        <v/>
      </c>
      <c r="H1275" s="12" t="str">
        <f t="shared" ca="1" si="77"/>
        <v/>
      </c>
      <c r="I1275" s="14"/>
      <c r="J1275" s="1" t="str">
        <f>IF(COUNTA(A1275:F3562)=0,"",IF(#REF!="","BRAK PROTOKOŁU","DODANY"))</f>
        <v/>
      </c>
      <c r="K1275" s="1"/>
      <c r="M1275" s="13" t="str" cm="1">
        <f t="array" ref="M1275">IF($A1275="","",IFERROR(TRANSPOSE(_xlfn._xlws.FILTER(Lokale!$C$3:$C$91,Lokale!$B$3:$B$91=$A1275)),""))</f>
        <v/>
      </c>
      <c r="AJ1275" s="13" t="str" cm="1">
        <f t="array" ref="AJ1275">IF($C1275="","",IFERROR(TRANSPOSE(_xlfn._xlws.FILTER(Listy!$D$2:$D$60,Listy!$C$2:$C$60=$C1275)),""))</f>
        <v/>
      </c>
    </row>
    <row r="1276" spans="7:36" ht="25" customHeight="1" x14ac:dyDescent="0.35">
      <c r="G1276" s="15" t="str">
        <f t="shared" si="76"/>
        <v/>
      </c>
      <c r="H1276" s="12" t="str">
        <f t="shared" ca="1" si="77"/>
        <v/>
      </c>
      <c r="I1276" s="14"/>
      <c r="J1276" s="1" t="str">
        <f>IF(COUNTA(A1276:F3563)=0,"",IF(#REF!="","BRAK PROTOKOŁU","DODANY"))</f>
        <v/>
      </c>
      <c r="K1276" s="1"/>
      <c r="M1276" s="13" t="str" cm="1">
        <f t="array" ref="M1276">IF($A1276="","",IFERROR(TRANSPOSE(_xlfn._xlws.FILTER(Lokale!$C$3:$C$91,Lokale!$B$3:$B$91=$A1276)),""))</f>
        <v/>
      </c>
      <c r="AJ1276" s="13" t="str" cm="1">
        <f t="array" ref="AJ1276">IF($C1276="","",IFERROR(TRANSPOSE(_xlfn._xlws.FILTER(Listy!$D$2:$D$60,Listy!$C$2:$C$60=$C1276)),""))</f>
        <v/>
      </c>
    </row>
    <row r="1277" spans="7:36" ht="25" customHeight="1" x14ac:dyDescent="0.35">
      <c r="G1277" s="15" t="str">
        <f t="shared" si="76"/>
        <v/>
      </c>
      <c r="H1277" s="12" t="str">
        <f t="shared" ca="1" si="77"/>
        <v/>
      </c>
      <c r="I1277" s="14"/>
      <c r="J1277" s="1" t="str">
        <f>IF(COUNTA(A1277:F3564)=0,"",IF(#REF!="","BRAK PROTOKOŁU","DODANY"))</f>
        <v/>
      </c>
      <c r="K1277" s="1"/>
      <c r="M1277" s="13" t="str" cm="1">
        <f t="array" ref="M1277">IF($A1277="","",IFERROR(TRANSPOSE(_xlfn._xlws.FILTER(Lokale!$C$3:$C$91,Lokale!$B$3:$B$91=$A1277)),""))</f>
        <v/>
      </c>
      <c r="AJ1277" s="13" t="str" cm="1">
        <f t="array" ref="AJ1277">IF($C1277="","",IFERROR(TRANSPOSE(_xlfn._xlws.FILTER(Listy!$D$2:$D$60,Listy!$C$2:$C$60=$C1277)),""))</f>
        <v/>
      </c>
    </row>
    <row r="1278" spans="7:36" ht="25" customHeight="1" x14ac:dyDescent="0.35">
      <c r="G1278" s="15" t="str">
        <f t="shared" si="76"/>
        <v/>
      </c>
      <c r="H1278" s="12" t="str">
        <f t="shared" ca="1" si="77"/>
        <v/>
      </c>
      <c r="I1278" s="14"/>
      <c r="J1278" s="1" t="str">
        <f>IF(COUNTA(A1278:F3565)=0,"",IF(#REF!="","BRAK PROTOKOŁU","DODANY"))</f>
        <v/>
      </c>
      <c r="K1278" s="1"/>
      <c r="M1278" s="13" t="str" cm="1">
        <f t="array" ref="M1278">IF($A1278="","",IFERROR(TRANSPOSE(_xlfn._xlws.FILTER(Lokale!$C$3:$C$91,Lokale!$B$3:$B$91=$A1278)),""))</f>
        <v/>
      </c>
      <c r="AJ1278" s="13" t="str" cm="1">
        <f t="array" ref="AJ1278">IF($C1278="","",IFERROR(TRANSPOSE(_xlfn._xlws.FILTER(Listy!$D$2:$D$60,Listy!$C$2:$C$60=$C1278)),""))</f>
        <v/>
      </c>
    </row>
    <row r="1279" spans="7:36" ht="25" customHeight="1" x14ac:dyDescent="0.35">
      <c r="G1279" s="15" t="str">
        <f t="shared" si="76"/>
        <v/>
      </c>
      <c r="H1279" s="12" t="str">
        <f t="shared" ca="1" si="77"/>
        <v/>
      </c>
      <c r="I1279" s="14"/>
      <c r="J1279" s="1" t="str">
        <f>IF(COUNTA(A1279:F3566)=0,"",IF(#REF!="","BRAK PROTOKOŁU","DODANY"))</f>
        <v/>
      </c>
      <c r="K1279" s="1"/>
      <c r="M1279" s="13" t="str" cm="1">
        <f t="array" ref="M1279">IF($A1279="","",IFERROR(TRANSPOSE(_xlfn._xlws.FILTER(Lokale!$C$3:$C$91,Lokale!$B$3:$B$91=$A1279)),""))</f>
        <v/>
      </c>
      <c r="AJ1279" s="13" t="str" cm="1">
        <f t="array" ref="AJ1279">IF($C1279="","",IFERROR(TRANSPOSE(_xlfn._xlws.FILTER(Listy!$D$2:$D$60,Listy!$C$2:$C$60=$C1279)),""))</f>
        <v/>
      </c>
    </row>
    <row r="1280" spans="7:36" ht="25" customHeight="1" x14ac:dyDescent="0.35">
      <c r="G1280" s="15" t="str">
        <f t="shared" si="76"/>
        <v/>
      </c>
      <c r="H1280" s="12" t="str">
        <f t="shared" ca="1" si="77"/>
        <v/>
      </c>
      <c r="I1280" s="14"/>
      <c r="J1280" s="1" t="str">
        <f>IF(COUNTA(A1280:F3567)=0,"",IF(#REF!="","BRAK PROTOKOŁU","DODANY"))</f>
        <v/>
      </c>
      <c r="K1280" s="1"/>
      <c r="M1280" s="13" t="str" cm="1">
        <f t="array" ref="M1280">IF($A1280="","",IFERROR(TRANSPOSE(_xlfn._xlws.FILTER(Lokale!$C$3:$C$91,Lokale!$B$3:$B$91=$A1280)),""))</f>
        <v/>
      </c>
      <c r="AJ1280" s="13" t="str" cm="1">
        <f t="array" ref="AJ1280">IF($C1280="","",IFERROR(TRANSPOSE(_xlfn._xlws.FILTER(Listy!$D$2:$D$60,Listy!$C$2:$C$60=$C1280)),""))</f>
        <v/>
      </c>
    </row>
    <row r="1281" spans="7:36" ht="25" customHeight="1" x14ac:dyDescent="0.35">
      <c r="G1281" s="15" t="str">
        <f t="shared" si="76"/>
        <v/>
      </c>
      <c r="H1281" s="12" t="str">
        <f t="shared" ca="1" si="77"/>
        <v/>
      </c>
      <c r="I1281" s="14"/>
      <c r="J1281" s="1" t="str">
        <f>IF(COUNTA(A1281:F3568)=0,"",IF(#REF!="","BRAK PROTOKOŁU","DODANY"))</f>
        <v/>
      </c>
      <c r="K1281" s="1"/>
      <c r="M1281" s="13" t="str" cm="1">
        <f t="array" ref="M1281">IF($A1281="","",IFERROR(TRANSPOSE(_xlfn._xlws.FILTER(Lokale!$C$3:$C$91,Lokale!$B$3:$B$91=$A1281)),""))</f>
        <v/>
      </c>
      <c r="AJ1281" s="13" t="str" cm="1">
        <f t="array" ref="AJ1281">IF($C1281="","",IFERROR(TRANSPOSE(_xlfn._xlws.FILTER(Listy!$D$2:$D$60,Listy!$C$2:$C$60=$C1281)),""))</f>
        <v/>
      </c>
    </row>
    <row r="1282" spans="7:36" ht="25" customHeight="1" x14ac:dyDescent="0.35">
      <c r="G1282" s="15" t="str">
        <f t="shared" si="76"/>
        <v/>
      </c>
      <c r="H1282" s="12" t="str">
        <f t="shared" ca="1" si="77"/>
        <v/>
      </c>
      <c r="I1282" s="14"/>
      <c r="J1282" s="1" t="str">
        <f>IF(COUNTA(A1282:F3569)=0,"",IF(#REF!="","BRAK PROTOKOŁU","DODANY"))</f>
        <v/>
      </c>
      <c r="K1282" s="1"/>
      <c r="M1282" s="13" t="str" cm="1">
        <f t="array" ref="M1282">IF($A1282="","",IFERROR(TRANSPOSE(_xlfn._xlws.FILTER(Lokale!$C$3:$C$91,Lokale!$B$3:$B$91=$A1282)),""))</f>
        <v/>
      </c>
      <c r="AJ1282" s="13" t="str" cm="1">
        <f t="array" ref="AJ1282">IF($C1282="","",IFERROR(TRANSPOSE(_xlfn._xlws.FILTER(Listy!$D$2:$D$60,Listy!$C$2:$C$60=$C1282)),""))</f>
        <v/>
      </c>
    </row>
    <row r="1283" spans="7:36" ht="25" customHeight="1" x14ac:dyDescent="0.35">
      <c r="G1283" s="15" t="str">
        <f t="shared" si="76"/>
        <v/>
      </c>
      <c r="H1283" s="12" t="str">
        <f t="shared" ca="1" si="77"/>
        <v/>
      </c>
      <c r="I1283" s="14"/>
      <c r="J1283" s="1" t="str">
        <f>IF(COUNTA(A1283:F3570)=0,"",IF(#REF!="","BRAK PROTOKOŁU","DODANY"))</f>
        <v/>
      </c>
      <c r="K1283" s="1"/>
      <c r="M1283" s="13" t="str" cm="1">
        <f t="array" ref="M1283">IF($A1283="","",IFERROR(TRANSPOSE(_xlfn._xlws.FILTER(Lokale!$C$3:$C$91,Lokale!$B$3:$B$91=$A1283)),""))</f>
        <v/>
      </c>
      <c r="AJ1283" s="13" t="str" cm="1">
        <f t="array" ref="AJ1283">IF($C1283="","",IFERROR(TRANSPOSE(_xlfn._xlws.FILTER(Listy!$D$2:$D$60,Listy!$C$2:$C$60=$C1283)),""))</f>
        <v/>
      </c>
    </row>
    <row r="1284" spans="7:36" ht="25" customHeight="1" x14ac:dyDescent="0.35">
      <c r="G1284" s="15" t="str">
        <f t="shared" si="76"/>
        <v/>
      </c>
      <c r="H1284" s="12" t="str">
        <f t="shared" ca="1" si="77"/>
        <v/>
      </c>
      <c r="I1284" s="14"/>
      <c r="J1284" s="1" t="str">
        <f>IF(COUNTA(A1284:F3571)=0,"",IF(#REF!="","BRAK PROTOKOŁU","DODANY"))</f>
        <v/>
      </c>
      <c r="K1284" s="1"/>
      <c r="M1284" s="13" t="str" cm="1">
        <f t="array" ref="M1284">IF($A1284="","",IFERROR(TRANSPOSE(_xlfn._xlws.FILTER(Lokale!$C$3:$C$91,Lokale!$B$3:$B$91=$A1284)),""))</f>
        <v/>
      </c>
      <c r="AJ1284" s="13" t="str" cm="1">
        <f t="array" ref="AJ1284">IF($C1284="","",IFERROR(TRANSPOSE(_xlfn._xlws.FILTER(Listy!$D$2:$D$60,Listy!$C$2:$C$60=$C1284)),""))</f>
        <v/>
      </c>
    </row>
    <row r="1285" spans="7:36" ht="25" customHeight="1" x14ac:dyDescent="0.35">
      <c r="G1285" s="15" t="str">
        <f t="shared" si="76"/>
        <v/>
      </c>
      <c r="H1285" s="12" t="str">
        <f t="shared" ca="1" si="77"/>
        <v/>
      </c>
      <c r="I1285" s="14"/>
      <c r="J1285" s="1" t="str">
        <f>IF(COUNTA(A1285:F3572)=0,"",IF(#REF!="","BRAK PROTOKOŁU","DODANY"))</f>
        <v/>
      </c>
      <c r="K1285" s="1"/>
      <c r="M1285" s="13" t="str" cm="1">
        <f t="array" ref="M1285">IF($A1285="","",IFERROR(TRANSPOSE(_xlfn._xlws.FILTER(Lokale!$C$3:$C$91,Lokale!$B$3:$B$91=$A1285)),""))</f>
        <v/>
      </c>
      <c r="AJ1285" s="13" t="str" cm="1">
        <f t="array" ref="AJ1285">IF($C1285="","",IFERROR(TRANSPOSE(_xlfn._xlws.FILTER(Listy!$D$2:$D$60,Listy!$C$2:$C$60=$C1285)),""))</f>
        <v/>
      </c>
    </row>
    <row r="1286" spans="7:36" ht="25" customHeight="1" x14ac:dyDescent="0.35">
      <c r="G1286" s="15" t="str">
        <f t="shared" si="76"/>
        <v/>
      </c>
      <c r="H1286" s="12" t="str">
        <f t="shared" ca="1" si="77"/>
        <v/>
      </c>
      <c r="I1286" s="14"/>
      <c r="J1286" s="1" t="str">
        <f>IF(COUNTA(A1286:F3573)=0,"",IF(#REF!="","BRAK PROTOKOŁU","DODANY"))</f>
        <v/>
      </c>
      <c r="K1286" s="1"/>
      <c r="M1286" s="13" t="str" cm="1">
        <f t="array" ref="M1286">IF($A1286="","",IFERROR(TRANSPOSE(_xlfn._xlws.FILTER(Lokale!$C$3:$C$91,Lokale!$B$3:$B$91=$A1286)),""))</f>
        <v/>
      </c>
      <c r="AJ1286" s="13" t="str" cm="1">
        <f t="array" ref="AJ1286">IF($C1286="","",IFERROR(TRANSPOSE(_xlfn._xlws.FILTER(Listy!$D$2:$D$60,Listy!$C$2:$C$60=$C1286)),""))</f>
        <v/>
      </c>
    </row>
    <row r="1287" spans="7:36" ht="25" customHeight="1" x14ac:dyDescent="0.35">
      <c r="G1287" s="15" t="str">
        <f t="shared" si="76"/>
        <v/>
      </c>
      <c r="H1287" s="12" t="str">
        <f t="shared" ca="1" si="77"/>
        <v/>
      </c>
      <c r="I1287" s="14"/>
      <c r="J1287" s="1" t="str">
        <f>IF(COUNTA(A1287:F3574)=0,"",IF(#REF!="","BRAK PROTOKOŁU","DODANY"))</f>
        <v/>
      </c>
      <c r="K1287" s="1"/>
      <c r="M1287" s="13" t="str" cm="1">
        <f t="array" ref="M1287">IF($A1287="","",IFERROR(TRANSPOSE(_xlfn._xlws.FILTER(Lokale!$C$3:$C$91,Lokale!$B$3:$B$91=$A1287)),""))</f>
        <v/>
      </c>
      <c r="AJ1287" s="13" t="str" cm="1">
        <f t="array" ref="AJ1287">IF($C1287="","",IFERROR(TRANSPOSE(_xlfn._xlws.FILTER(Listy!$D$2:$D$60,Listy!$C$2:$C$60=$C1287)),""))</f>
        <v/>
      </c>
    </row>
    <row r="1288" spans="7:36" ht="25" customHeight="1" x14ac:dyDescent="0.35">
      <c r="G1288" s="15" t="str">
        <f t="shared" si="76"/>
        <v/>
      </c>
      <c r="H1288" s="12" t="str">
        <f t="shared" ca="1" si="77"/>
        <v/>
      </c>
      <c r="I1288" s="14"/>
      <c r="J1288" s="1" t="str">
        <f>IF(COUNTA(A1288:F3575)=0,"",IF(#REF!="","BRAK PROTOKOŁU","DODANY"))</f>
        <v/>
      </c>
      <c r="K1288" s="1"/>
      <c r="M1288" s="13" t="str" cm="1">
        <f t="array" ref="M1288">IF($A1288="","",IFERROR(TRANSPOSE(_xlfn._xlws.FILTER(Lokale!$C$3:$C$91,Lokale!$B$3:$B$91=$A1288)),""))</f>
        <v/>
      </c>
      <c r="AJ1288" s="13" t="str" cm="1">
        <f t="array" ref="AJ1288">IF($C1288="","",IFERROR(TRANSPOSE(_xlfn._xlws.FILTER(Listy!$D$2:$D$60,Listy!$C$2:$C$60=$C1288)),""))</f>
        <v/>
      </c>
    </row>
    <row r="1289" spans="7:36" ht="25" customHeight="1" x14ac:dyDescent="0.35">
      <c r="G1289" s="15" t="str">
        <f t="shared" si="76"/>
        <v/>
      </c>
      <c r="H1289" s="12" t="str">
        <f t="shared" ca="1" si="77"/>
        <v/>
      </c>
      <c r="I1289" s="14"/>
      <c r="J1289" s="1" t="str">
        <f>IF(COUNTA(A1289:F3576)=0,"",IF(#REF!="","BRAK PROTOKOŁU","DODANY"))</f>
        <v/>
      </c>
      <c r="K1289" s="1"/>
      <c r="M1289" s="13" t="str" cm="1">
        <f t="array" ref="M1289">IF($A1289="","",IFERROR(TRANSPOSE(_xlfn._xlws.FILTER(Lokale!$C$3:$C$91,Lokale!$B$3:$B$91=$A1289)),""))</f>
        <v/>
      </c>
      <c r="AJ1289" s="13" t="str" cm="1">
        <f t="array" ref="AJ1289">IF($C1289="","",IFERROR(TRANSPOSE(_xlfn._xlws.FILTER(Listy!$D$2:$D$60,Listy!$C$2:$C$60=$C1289)),""))</f>
        <v/>
      </c>
    </row>
    <row r="1290" spans="7:36" ht="25" customHeight="1" x14ac:dyDescent="0.35">
      <c r="G1290" s="15" t="str">
        <f t="shared" si="76"/>
        <v/>
      </c>
      <c r="H1290" s="12" t="str">
        <f t="shared" ca="1" si="77"/>
        <v/>
      </c>
      <c r="I1290" s="14"/>
      <c r="J1290" s="1" t="str">
        <f>IF(COUNTA(A1290:F3577)=0,"",IF(#REF!="","BRAK PROTOKOŁU","DODANY"))</f>
        <v/>
      </c>
      <c r="K1290" s="1"/>
      <c r="M1290" s="13" t="str" cm="1">
        <f t="array" ref="M1290">IF($A1290="","",IFERROR(TRANSPOSE(_xlfn._xlws.FILTER(Lokale!$C$3:$C$91,Lokale!$B$3:$B$91=$A1290)),""))</f>
        <v/>
      </c>
      <c r="AJ1290" s="13" t="str" cm="1">
        <f t="array" ref="AJ1290">IF($C1290="","",IFERROR(TRANSPOSE(_xlfn._xlws.FILTER(Listy!$D$2:$D$60,Listy!$C$2:$C$60=$C1290)),""))</f>
        <v/>
      </c>
    </row>
    <row r="1291" spans="7:36" ht="25" customHeight="1" x14ac:dyDescent="0.35">
      <c r="G1291" s="15" t="str">
        <f t="shared" si="76"/>
        <v/>
      </c>
      <c r="H1291" s="12" t="str">
        <f t="shared" ca="1" si="77"/>
        <v/>
      </c>
      <c r="I1291" s="14"/>
      <c r="J1291" s="1" t="str">
        <f>IF(COUNTA(A1291:F3578)=0,"",IF(#REF!="","BRAK PROTOKOŁU","DODANY"))</f>
        <v/>
      </c>
      <c r="K1291" s="1"/>
      <c r="M1291" s="13" t="str" cm="1">
        <f t="array" ref="M1291">IF($A1291="","",IFERROR(TRANSPOSE(_xlfn._xlws.FILTER(Lokale!$C$3:$C$91,Lokale!$B$3:$B$91=$A1291)),""))</f>
        <v/>
      </c>
      <c r="AJ1291" s="13" t="str" cm="1">
        <f t="array" ref="AJ1291">IF($C1291="","",IFERROR(TRANSPOSE(_xlfn._xlws.FILTER(Listy!$D$2:$D$60,Listy!$C$2:$C$60=$C1291)),""))</f>
        <v/>
      </c>
    </row>
    <row r="1292" spans="7:36" ht="25" customHeight="1" x14ac:dyDescent="0.35">
      <c r="G1292" s="15" t="str">
        <f t="shared" si="76"/>
        <v/>
      </c>
      <c r="H1292" s="12" t="str">
        <f t="shared" ca="1" si="77"/>
        <v/>
      </c>
      <c r="I1292" s="14"/>
      <c r="J1292" s="1" t="str">
        <f>IF(COUNTA(A1292:F3579)=0,"",IF(#REF!="","BRAK PROTOKOŁU","DODANY"))</f>
        <v/>
      </c>
      <c r="K1292" s="1"/>
      <c r="M1292" s="13" t="str" cm="1">
        <f t="array" ref="M1292">IF($A1292="","",IFERROR(TRANSPOSE(_xlfn._xlws.FILTER(Lokale!$C$3:$C$91,Lokale!$B$3:$B$91=$A1292)),""))</f>
        <v/>
      </c>
      <c r="AJ1292" s="13" t="str" cm="1">
        <f t="array" ref="AJ1292">IF($C1292="","",IFERROR(TRANSPOSE(_xlfn._xlws.FILTER(Listy!$D$2:$D$60,Listy!$C$2:$C$60=$C1292)),""))</f>
        <v/>
      </c>
    </row>
    <row r="1293" spans="7:36" ht="25" customHeight="1" x14ac:dyDescent="0.35">
      <c r="G1293" s="15" t="str">
        <f t="shared" si="76"/>
        <v/>
      </c>
      <c r="H1293" s="12" t="str">
        <f t="shared" ca="1" si="77"/>
        <v/>
      </c>
      <c r="I1293" s="14"/>
      <c r="J1293" s="1" t="str">
        <f>IF(COUNTA(A1293:F3580)=0,"",IF(#REF!="","BRAK PROTOKOŁU","DODANY"))</f>
        <v/>
      </c>
      <c r="K1293" s="1"/>
      <c r="M1293" s="13" t="str" cm="1">
        <f t="array" ref="M1293">IF($A1293="","",IFERROR(TRANSPOSE(_xlfn._xlws.FILTER(Lokale!$C$3:$C$91,Lokale!$B$3:$B$91=$A1293)),""))</f>
        <v/>
      </c>
      <c r="AJ1293" s="13" t="str" cm="1">
        <f t="array" ref="AJ1293">IF($C1293="","",IFERROR(TRANSPOSE(_xlfn._xlws.FILTER(Listy!$D$2:$D$60,Listy!$C$2:$C$60=$C1293)),""))</f>
        <v/>
      </c>
    </row>
    <row r="1294" spans="7:36" ht="25" customHeight="1" x14ac:dyDescent="0.35">
      <c r="G1294" s="15" t="str">
        <f t="shared" si="76"/>
        <v/>
      </c>
      <c r="H1294" s="12" t="str">
        <f t="shared" ca="1" si="77"/>
        <v/>
      </c>
      <c r="I1294" s="14"/>
      <c r="J1294" s="1" t="str">
        <f>IF(COUNTA(A1294:F3581)=0,"",IF(#REF!="","BRAK PROTOKOŁU","DODANY"))</f>
        <v/>
      </c>
      <c r="K1294" s="1"/>
      <c r="M1294" s="13" t="str" cm="1">
        <f t="array" ref="M1294">IF($A1294="","",IFERROR(TRANSPOSE(_xlfn._xlws.FILTER(Lokale!$C$3:$C$91,Lokale!$B$3:$B$91=$A1294)),""))</f>
        <v/>
      </c>
      <c r="AJ1294" s="13" t="str" cm="1">
        <f t="array" ref="AJ1294">IF($C1294="","",IFERROR(TRANSPOSE(_xlfn._xlws.FILTER(Listy!$D$2:$D$60,Listy!$C$2:$C$60=$C1294)),""))</f>
        <v/>
      </c>
    </row>
    <row r="1295" spans="7:36" ht="25" customHeight="1" x14ac:dyDescent="0.35">
      <c r="G1295" s="15" t="str">
        <f t="shared" si="76"/>
        <v/>
      </c>
      <c r="H1295" s="12" t="str">
        <f t="shared" ca="1" si="77"/>
        <v/>
      </c>
      <c r="I1295" s="14"/>
      <c r="J1295" s="1" t="str">
        <f>IF(COUNTA(A1295:F3582)=0,"",IF(#REF!="","BRAK PROTOKOŁU","DODANY"))</f>
        <v/>
      </c>
      <c r="K1295" s="1"/>
      <c r="M1295" s="13" t="str" cm="1">
        <f t="array" ref="M1295">IF($A1295="","",IFERROR(TRANSPOSE(_xlfn._xlws.FILTER(Lokale!$C$3:$C$91,Lokale!$B$3:$B$91=$A1295)),""))</f>
        <v/>
      </c>
      <c r="AJ1295" s="13" t="str" cm="1">
        <f t="array" ref="AJ1295">IF($C1295="","",IFERROR(TRANSPOSE(_xlfn._xlws.FILTER(Listy!$D$2:$D$60,Listy!$C$2:$C$60=$C1295)),""))</f>
        <v/>
      </c>
    </row>
    <row r="1296" spans="7:36" ht="25" customHeight="1" x14ac:dyDescent="0.35">
      <c r="G1296" s="15" t="str">
        <f t="shared" si="76"/>
        <v/>
      </c>
      <c r="H1296" s="12" t="str">
        <f t="shared" ca="1" si="77"/>
        <v/>
      </c>
      <c r="I1296" s="14"/>
      <c r="J1296" s="1" t="str">
        <f>IF(COUNTA(A1296:F3583)=0,"",IF(#REF!="","BRAK PROTOKOŁU","DODANY"))</f>
        <v/>
      </c>
      <c r="K1296" s="1"/>
      <c r="M1296" s="13" t="str" cm="1">
        <f t="array" ref="M1296">IF($A1296="","",IFERROR(TRANSPOSE(_xlfn._xlws.FILTER(Lokale!$C$3:$C$91,Lokale!$B$3:$B$91=$A1296)),""))</f>
        <v/>
      </c>
      <c r="AJ1296" s="13" t="str" cm="1">
        <f t="array" ref="AJ1296">IF($C1296="","",IFERROR(TRANSPOSE(_xlfn._xlws.FILTER(Listy!$D$2:$D$60,Listy!$C$2:$C$60=$C1296)),""))</f>
        <v/>
      </c>
    </row>
    <row r="1297" spans="7:36" ht="25" customHeight="1" x14ac:dyDescent="0.35">
      <c r="G1297" s="15" t="str">
        <f t="shared" si="76"/>
        <v/>
      </c>
      <c r="H1297" s="12" t="str">
        <f t="shared" ca="1" si="77"/>
        <v/>
      </c>
      <c r="I1297" s="14"/>
      <c r="J1297" s="1" t="str">
        <f>IF(COUNTA(A1297:F3584)=0,"",IF(#REF!="","BRAK PROTOKOŁU","DODANY"))</f>
        <v/>
      </c>
      <c r="K1297" s="1"/>
      <c r="M1297" s="13" t="str" cm="1">
        <f t="array" ref="M1297">IF($A1297="","",IFERROR(TRANSPOSE(_xlfn._xlws.FILTER(Lokale!$C$3:$C$91,Lokale!$B$3:$B$91=$A1297)),""))</f>
        <v/>
      </c>
      <c r="AJ1297" s="13" t="str" cm="1">
        <f t="array" ref="AJ1297">IF($C1297="","",IFERROR(TRANSPOSE(_xlfn._xlws.FILTER(Listy!$D$2:$D$60,Listy!$C$2:$C$60=$C1297)),""))</f>
        <v/>
      </c>
    </row>
    <row r="1298" spans="7:36" ht="25" customHeight="1" x14ac:dyDescent="0.35">
      <c r="G1298" s="15" t="str">
        <f t="shared" si="76"/>
        <v/>
      </c>
      <c r="H1298" s="12" t="str">
        <f t="shared" ca="1" si="77"/>
        <v/>
      </c>
      <c r="I1298" s="14"/>
      <c r="J1298" s="1" t="str">
        <f>IF(COUNTA(A1298:F3585)=0,"",IF(#REF!="","BRAK PROTOKOŁU","DODANY"))</f>
        <v/>
      </c>
      <c r="K1298" s="1"/>
      <c r="M1298" s="13" t="str" cm="1">
        <f t="array" ref="M1298">IF($A1298="","",IFERROR(TRANSPOSE(_xlfn._xlws.FILTER(Lokale!$C$3:$C$91,Lokale!$B$3:$B$91=$A1298)),""))</f>
        <v/>
      </c>
      <c r="AJ1298" s="13" t="str" cm="1">
        <f t="array" ref="AJ1298">IF($C1298="","",IFERROR(TRANSPOSE(_xlfn._xlws.FILTER(Listy!$D$2:$D$60,Listy!$C$2:$C$60=$C1298)),""))</f>
        <v/>
      </c>
    </row>
    <row r="1299" spans="7:36" ht="25" customHeight="1" x14ac:dyDescent="0.35">
      <c r="G1299" s="15" t="str">
        <f t="shared" si="76"/>
        <v/>
      </c>
      <c r="H1299" s="12" t="str">
        <f t="shared" ca="1" si="77"/>
        <v/>
      </c>
      <c r="I1299" s="14"/>
      <c r="J1299" s="1" t="str">
        <f>IF(COUNTA(A1299:F3586)=0,"",IF(#REF!="","BRAK PROTOKOŁU","DODANY"))</f>
        <v/>
      </c>
      <c r="K1299" s="1"/>
      <c r="M1299" s="13" t="str" cm="1">
        <f t="array" ref="M1299">IF($A1299="","",IFERROR(TRANSPOSE(_xlfn._xlws.FILTER(Lokale!$C$3:$C$91,Lokale!$B$3:$B$91=$A1299)),""))</f>
        <v/>
      </c>
      <c r="AJ1299" s="13" t="str" cm="1">
        <f t="array" ref="AJ1299">IF($C1299="","",IFERROR(TRANSPOSE(_xlfn._xlws.FILTER(Listy!$D$2:$D$60,Listy!$C$2:$C$60=$C1299)),""))</f>
        <v/>
      </c>
    </row>
    <row r="1300" spans="7:36" ht="25" customHeight="1" x14ac:dyDescent="0.35">
      <c r="G1300" s="15" t="str">
        <f t="shared" si="76"/>
        <v/>
      </c>
      <c r="H1300" s="12" t="str">
        <f t="shared" ca="1" si="77"/>
        <v/>
      </c>
      <c r="I1300" s="14"/>
      <c r="J1300" s="1" t="str">
        <f>IF(COUNTA(A1300:F3587)=0,"",IF(#REF!="","BRAK PROTOKOŁU","DODANY"))</f>
        <v/>
      </c>
      <c r="K1300" s="1"/>
      <c r="M1300" s="13" t="str" cm="1">
        <f t="array" ref="M1300">IF($A1300="","",IFERROR(TRANSPOSE(_xlfn._xlws.FILTER(Lokale!$C$3:$C$91,Lokale!$B$3:$B$91=$A1300)),""))</f>
        <v/>
      </c>
      <c r="AJ1300" s="13" t="str" cm="1">
        <f t="array" ref="AJ1300">IF($C1300="","",IFERROR(TRANSPOSE(_xlfn._xlws.FILTER(Listy!$D$2:$D$60,Listy!$C$2:$C$60=$C1300)),""))</f>
        <v/>
      </c>
    </row>
    <row r="1301" spans="7:36" ht="25" customHeight="1" x14ac:dyDescent="0.35">
      <c r="G1301" s="15" t="str">
        <f t="shared" si="76"/>
        <v/>
      </c>
      <c r="H1301" s="12" t="str">
        <f t="shared" ca="1" si="77"/>
        <v/>
      </c>
      <c r="I1301" s="14"/>
      <c r="J1301" s="1" t="str">
        <f>IF(COUNTA(A1301:F3588)=0,"",IF(#REF!="","BRAK PROTOKOŁU","DODANY"))</f>
        <v/>
      </c>
      <c r="K1301" s="1"/>
      <c r="M1301" s="13" t="str" cm="1">
        <f t="array" ref="M1301">IF($A1301="","",IFERROR(TRANSPOSE(_xlfn._xlws.FILTER(Lokale!$C$3:$C$91,Lokale!$B$3:$B$91=$A1301)),""))</f>
        <v/>
      </c>
      <c r="AJ1301" s="13" t="str" cm="1">
        <f t="array" ref="AJ1301">IF($C1301="","",IFERROR(TRANSPOSE(_xlfn._xlws.FILTER(Listy!$D$2:$D$60,Listy!$C$2:$C$60=$C1301)),""))</f>
        <v/>
      </c>
    </row>
    <row r="1302" spans="7:36" ht="25" customHeight="1" x14ac:dyDescent="0.35">
      <c r="G1302" s="15" t="str">
        <f t="shared" si="76"/>
        <v/>
      </c>
      <c r="H1302" s="12" t="str">
        <f t="shared" ca="1" si="77"/>
        <v/>
      </c>
      <c r="I1302" s="14"/>
      <c r="J1302" s="1" t="str">
        <f>IF(COUNTA(A1302:F3589)=0,"",IF(#REF!="","BRAK PROTOKOŁU","DODANY"))</f>
        <v/>
      </c>
      <c r="K1302" s="1"/>
      <c r="M1302" s="13" t="str" cm="1">
        <f t="array" ref="M1302">IF($A1302="","",IFERROR(TRANSPOSE(_xlfn._xlws.FILTER(Lokale!$C$3:$C$91,Lokale!$B$3:$B$91=$A1302)),""))</f>
        <v/>
      </c>
      <c r="AJ1302" s="13" t="str" cm="1">
        <f t="array" ref="AJ1302">IF($C1302="","",IFERROR(TRANSPOSE(_xlfn._xlws.FILTER(Listy!$D$2:$D$60,Listy!$C$2:$C$60=$C1302)),""))</f>
        <v/>
      </c>
    </row>
    <row r="1303" spans="7:36" ht="25" customHeight="1" x14ac:dyDescent="0.35">
      <c r="G1303" s="15" t="str">
        <f t="shared" si="76"/>
        <v/>
      </c>
      <c r="H1303" s="12" t="str">
        <f t="shared" ca="1" si="77"/>
        <v/>
      </c>
      <c r="I1303" s="14"/>
      <c r="J1303" s="1" t="str">
        <f>IF(COUNTA(A1303:F3590)=0,"",IF(#REF!="","BRAK PROTOKOŁU","DODANY"))</f>
        <v/>
      </c>
      <c r="K1303" s="1"/>
      <c r="M1303" s="13" t="str" cm="1">
        <f t="array" ref="M1303">IF($A1303="","",IFERROR(TRANSPOSE(_xlfn._xlws.FILTER(Lokale!$C$3:$C$91,Lokale!$B$3:$B$91=$A1303)),""))</f>
        <v/>
      </c>
      <c r="AJ1303" s="13" t="str" cm="1">
        <f t="array" ref="AJ1303">IF($C1303="","",IFERROR(TRANSPOSE(_xlfn._xlws.FILTER(Listy!$D$2:$D$60,Listy!$C$2:$C$60=$C1303)),""))</f>
        <v/>
      </c>
    </row>
    <row r="1304" spans="7:36" ht="25" customHeight="1" x14ac:dyDescent="0.35">
      <c r="G1304" s="15" t="str">
        <f t="shared" si="76"/>
        <v/>
      </c>
      <c r="H1304" s="12" t="str">
        <f t="shared" ca="1" si="77"/>
        <v/>
      </c>
      <c r="I1304" s="14"/>
      <c r="J1304" s="1" t="str">
        <f>IF(COUNTA(A1304:F3591)=0,"",IF(#REF!="","BRAK PROTOKOŁU","DODANY"))</f>
        <v/>
      </c>
      <c r="K1304" s="1"/>
      <c r="M1304" s="13" t="str" cm="1">
        <f t="array" ref="M1304">IF($A1304="","",IFERROR(TRANSPOSE(_xlfn._xlws.FILTER(Lokale!$C$3:$C$91,Lokale!$B$3:$B$91=$A1304)),""))</f>
        <v/>
      </c>
      <c r="AJ1304" s="13" t="str" cm="1">
        <f t="array" ref="AJ1304">IF($C1304="","",IFERROR(TRANSPOSE(_xlfn._xlws.FILTER(Listy!$D$2:$D$60,Listy!$C$2:$C$60=$C1304)),""))</f>
        <v/>
      </c>
    </row>
    <row r="1305" spans="7:36" ht="25" customHeight="1" x14ac:dyDescent="0.35">
      <c r="G1305" s="15" t="str">
        <f t="shared" si="76"/>
        <v/>
      </c>
      <c r="H1305" s="12" t="str">
        <f t="shared" ca="1" si="77"/>
        <v/>
      </c>
      <c r="I1305" s="14"/>
      <c r="J1305" s="1" t="str">
        <f>IF(COUNTA(A1305:F3592)=0,"",IF(#REF!="","BRAK PROTOKOŁU","DODANY"))</f>
        <v/>
      </c>
      <c r="K1305" s="1"/>
      <c r="M1305" s="13" t="str" cm="1">
        <f t="array" ref="M1305">IF($A1305="","",IFERROR(TRANSPOSE(_xlfn._xlws.FILTER(Lokale!$C$3:$C$91,Lokale!$B$3:$B$91=$A1305)),""))</f>
        <v/>
      </c>
      <c r="AJ1305" s="13" t="str" cm="1">
        <f t="array" ref="AJ1305">IF($C1305="","",IFERROR(TRANSPOSE(_xlfn._xlws.FILTER(Listy!$D$2:$D$60,Listy!$C$2:$C$60=$C1305)),""))</f>
        <v/>
      </c>
    </row>
    <row r="1306" spans="7:36" ht="25" customHeight="1" x14ac:dyDescent="0.35">
      <c r="G1306" s="15" t="str">
        <f t="shared" si="76"/>
        <v/>
      </c>
      <c r="H1306" s="12" t="str">
        <f t="shared" ca="1" si="77"/>
        <v/>
      </c>
      <c r="I1306" s="14"/>
      <c r="J1306" s="1" t="str">
        <f>IF(COUNTA(A1306:F3593)=0,"",IF(#REF!="","BRAK PROTOKOŁU","DODANY"))</f>
        <v/>
      </c>
      <c r="K1306" s="1"/>
      <c r="M1306" s="13" t="str" cm="1">
        <f t="array" ref="M1306">IF($A1306="","",IFERROR(TRANSPOSE(_xlfn._xlws.FILTER(Lokale!$C$3:$C$91,Lokale!$B$3:$B$91=$A1306)),""))</f>
        <v/>
      </c>
      <c r="AJ1306" s="13" t="str" cm="1">
        <f t="array" ref="AJ1306">IF($C1306="","",IFERROR(TRANSPOSE(_xlfn._xlws.FILTER(Listy!$D$2:$D$60,Listy!$C$2:$C$60=$C1306)),""))</f>
        <v/>
      </c>
    </row>
    <row r="1307" spans="7:36" ht="25" customHeight="1" x14ac:dyDescent="0.35">
      <c r="G1307" s="15" t="str">
        <f t="shared" si="76"/>
        <v/>
      </c>
      <c r="H1307" s="12" t="str">
        <f t="shared" ca="1" si="77"/>
        <v/>
      </c>
      <c r="I1307" s="14"/>
      <c r="J1307" s="1" t="str">
        <f>IF(COUNTA(A1307:F3594)=0,"",IF(#REF!="","BRAK PROTOKOŁU","DODANY"))</f>
        <v/>
      </c>
      <c r="K1307" s="1"/>
      <c r="M1307" s="13" t="str" cm="1">
        <f t="array" ref="M1307">IF($A1307="","",IFERROR(TRANSPOSE(_xlfn._xlws.FILTER(Lokale!$C$3:$C$91,Lokale!$B$3:$B$91=$A1307)),""))</f>
        <v/>
      </c>
      <c r="AJ1307" s="13" t="str" cm="1">
        <f t="array" ref="AJ1307">IF($C1307="","",IFERROR(TRANSPOSE(_xlfn._xlws.FILTER(Listy!$D$2:$D$60,Listy!$C$2:$C$60=$C1307)),""))</f>
        <v/>
      </c>
    </row>
    <row r="1308" spans="7:36" ht="25" customHeight="1" x14ac:dyDescent="0.35">
      <c r="G1308" s="15" t="str">
        <f t="shared" si="76"/>
        <v/>
      </c>
      <c r="H1308" s="12" t="str">
        <f t="shared" ca="1" si="77"/>
        <v/>
      </c>
      <c r="I1308" s="14"/>
      <c r="J1308" s="1" t="str">
        <f>IF(COUNTA(A1308:F3595)=0,"",IF(#REF!="","BRAK PROTOKOŁU","DODANY"))</f>
        <v/>
      </c>
      <c r="K1308" s="1"/>
      <c r="M1308" s="13" t="str" cm="1">
        <f t="array" ref="M1308">IF($A1308="","",IFERROR(TRANSPOSE(_xlfn._xlws.FILTER(Lokale!$C$3:$C$91,Lokale!$B$3:$B$91=$A1308)),""))</f>
        <v/>
      </c>
      <c r="AJ1308" s="13" t="str" cm="1">
        <f t="array" ref="AJ1308">IF($C1308="","",IFERROR(TRANSPOSE(_xlfn._xlws.FILTER(Listy!$D$2:$D$60,Listy!$C$2:$C$60=$C1308)),""))</f>
        <v/>
      </c>
    </row>
    <row r="1309" spans="7:36" ht="25" customHeight="1" x14ac:dyDescent="0.35">
      <c r="G1309" s="15" t="str">
        <f t="shared" si="76"/>
        <v/>
      </c>
      <c r="H1309" s="12" t="str">
        <f t="shared" ca="1" si="77"/>
        <v/>
      </c>
      <c r="I1309" s="14"/>
      <c r="J1309" s="1" t="str">
        <f>IF(COUNTA(A1309:F3596)=0,"",IF(#REF!="","BRAK PROTOKOŁU","DODANY"))</f>
        <v/>
      </c>
      <c r="K1309" s="1"/>
      <c r="M1309" s="13" t="str" cm="1">
        <f t="array" ref="M1309">IF($A1309="","",IFERROR(TRANSPOSE(_xlfn._xlws.FILTER(Lokale!$C$3:$C$91,Lokale!$B$3:$B$91=$A1309)),""))</f>
        <v/>
      </c>
      <c r="AJ1309" s="13" t="str" cm="1">
        <f t="array" ref="AJ1309">IF($C1309="","",IFERROR(TRANSPOSE(_xlfn._xlws.FILTER(Listy!$D$2:$D$60,Listy!$C$2:$C$60=$C1309)),""))</f>
        <v/>
      </c>
    </row>
    <row r="1310" spans="7:36" ht="25" customHeight="1" x14ac:dyDescent="0.35">
      <c r="G1310" s="15" t="str">
        <f t="shared" si="76"/>
        <v/>
      </c>
      <c r="H1310" s="12" t="str">
        <f t="shared" ca="1" si="77"/>
        <v/>
      </c>
      <c r="I1310" s="14"/>
      <c r="J1310" s="1" t="str">
        <f>IF(COUNTA(A1310:F3597)=0,"",IF(#REF!="","BRAK PROTOKOŁU","DODANY"))</f>
        <v/>
      </c>
      <c r="K1310" s="1"/>
      <c r="M1310" s="13" t="str" cm="1">
        <f t="array" ref="M1310">IF($A1310="","",IFERROR(TRANSPOSE(_xlfn._xlws.FILTER(Lokale!$C$3:$C$91,Lokale!$B$3:$B$91=$A1310)),""))</f>
        <v/>
      </c>
      <c r="AJ1310" s="13" t="str" cm="1">
        <f t="array" ref="AJ1310">IF($C1310="","",IFERROR(TRANSPOSE(_xlfn._xlws.FILTER(Listy!$D$2:$D$60,Listy!$C$2:$C$60=$C1310)),""))</f>
        <v/>
      </c>
    </row>
    <row r="1311" spans="7:36" ht="25" customHeight="1" x14ac:dyDescent="0.35">
      <c r="G1311" s="15" t="str">
        <f t="shared" si="76"/>
        <v/>
      </c>
      <c r="H1311" s="12" t="str">
        <f t="shared" ca="1" si="77"/>
        <v/>
      </c>
      <c r="I1311" s="14"/>
      <c r="J1311" s="1" t="str">
        <f>IF(COUNTA(A1311:F3598)=0,"",IF(#REF!="","BRAK PROTOKOŁU","DODANY"))</f>
        <v/>
      </c>
      <c r="K1311" s="1"/>
      <c r="M1311" s="13" t="str" cm="1">
        <f t="array" ref="M1311">IF($A1311="","",IFERROR(TRANSPOSE(_xlfn._xlws.FILTER(Lokale!$C$3:$C$91,Lokale!$B$3:$B$91=$A1311)),""))</f>
        <v/>
      </c>
      <c r="AJ1311" s="13" t="str" cm="1">
        <f t="array" ref="AJ1311">IF($C1311="","",IFERROR(TRANSPOSE(_xlfn._xlws.FILTER(Listy!$D$2:$D$60,Listy!$C$2:$C$60=$C1311)),""))</f>
        <v/>
      </c>
    </row>
    <row r="1312" spans="7:36" ht="25" customHeight="1" x14ac:dyDescent="0.35">
      <c r="G1312" s="15" t="str">
        <f t="shared" si="76"/>
        <v/>
      </c>
      <c r="H1312" s="12" t="str">
        <f t="shared" ca="1" si="77"/>
        <v/>
      </c>
      <c r="I1312" s="14"/>
      <c r="J1312" s="1" t="str">
        <f>IF(COUNTA(A1312:F3599)=0,"",IF(#REF!="","BRAK PROTOKOŁU","DODANY"))</f>
        <v/>
      </c>
      <c r="K1312" s="1"/>
      <c r="M1312" s="13" t="str" cm="1">
        <f t="array" ref="M1312">IF($A1312="","",IFERROR(TRANSPOSE(_xlfn._xlws.FILTER(Lokale!$C$3:$C$91,Lokale!$B$3:$B$91=$A1312)),""))</f>
        <v/>
      </c>
      <c r="AJ1312" s="13" t="str" cm="1">
        <f t="array" ref="AJ1312">IF($C1312="","",IFERROR(TRANSPOSE(_xlfn._xlws.FILTER(Listy!$D$2:$D$60,Listy!$C$2:$C$60=$C1312)),""))</f>
        <v/>
      </c>
    </row>
    <row r="1313" spans="7:36" ht="25" customHeight="1" x14ac:dyDescent="0.35">
      <c r="G1313" s="15" t="str">
        <f t="shared" si="76"/>
        <v/>
      </c>
      <c r="H1313" s="12" t="str">
        <f t="shared" ca="1" si="77"/>
        <v/>
      </c>
      <c r="I1313" s="14"/>
      <c r="J1313" s="1" t="str">
        <f>IF(COUNTA(A1313:F3600)=0,"",IF(#REF!="","BRAK PROTOKOŁU","DODANY"))</f>
        <v/>
      </c>
      <c r="K1313" s="1"/>
      <c r="M1313" s="13" t="str" cm="1">
        <f t="array" ref="M1313">IF($A1313="","",IFERROR(TRANSPOSE(_xlfn._xlws.FILTER(Lokale!$C$3:$C$91,Lokale!$B$3:$B$91=$A1313)),""))</f>
        <v/>
      </c>
      <c r="AJ1313" s="13" t="str" cm="1">
        <f t="array" ref="AJ1313">IF($C1313="","",IFERROR(TRANSPOSE(_xlfn._xlws.FILTER(Listy!$D$2:$D$60,Listy!$C$2:$C$60=$C1313)),""))</f>
        <v/>
      </c>
    </row>
    <row r="1314" spans="7:36" ht="25" customHeight="1" x14ac:dyDescent="0.35">
      <c r="G1314" s="15" t="str">
        <f t="shared" ref="G1314:G1372" si="78">IF(OR(E1314="",F1314=""),"",DATE(YEAR(E1314),MONTH(E1314)+F1314,DAY(E1314)))</f>
        <v/>
      </c>
      <c r="H1314" s="12" t="str">
        <f t="shared" ref="H1314:H1372" ca="1" si="79">IF(G1314="","",IF(G1314&lt;TODAY(),"PO TERMINIE",IF(G1314&lt;=TODAY()+14,"DO WYKONANIA","OK")))</f>
        <v/>
      </c>
      <c r="I1314" s="14"/>
      <c r="J1314" s="1" t="str">
        <f>IF(COUNTA(A1314:F3601)=0,"",IF(#REF!="","BRAK PROTOKOŁU","DODANY"))</f>
        <v/>
      </c>
      <c r="K1314" s="1"/>
      <c r="M1314" s="13" t="str" cm="1">
        <f t="array" ref="M1314">IF($A1314="","",IFERROR(TRANSPOSE(_xlfn._xlws.FILTER(Lokale!$C$3:$C$91,Lokale!$B$3:$B$91=$A1314)),""))</f>
        <v/>
      </c>
      <c r="AJ1314" s="13" t="str" cm="1">
        <f t="array" ref="AJ1314">IF($C1314="","",IFERROR(TRANSPOSE(_xlfn._xlws.FILTER(Listy!$D$2:$D$60,Listy!$C$2:$C$60=$C1314)),""))</f>
        <v/>
      </c>
    </row>
    <row r="1315" spans="7:36" ht="25" customHeight="1" x14ac:dyDescent="0.35">
      <c r="G1315" s="15" t="str">
        <f t="shared" si="78"/>
        <v/>
      </c>
      <c r="H1315" s="12" t="str">
        <f t="shared" ca="1" si="79"/>
        <v/>
      </c>
      <c r="I1315" s="14"/>
      <c r="J1315" s="1" t="str">
        <f>IF(COUNTA(A1315:F3602)=0,"",IF(#REF!="","BRAK PROTOKOŁU","DODANY"))</f>
        <v/>
      </c>
      <c r="K1315" s="1"/>
      <c r="M1315" s="13" t="str" cm="1">
        <f t="array" ref="M1315">IF($A1315="","",IFERROR(TRANSPOSE(_xlfn._xlws.FILTER(Lokale!$C$3:$C$91,Lokale!$B$3:$B$91=$A1315)),""))</f>
        <v/>
      </c>
      <c r="AJ1315" s="13" t="str" cm="1">
        <f t="array" ref="AJ1315">IF($C1315="","",IFERROR(TRANSPOSE(_xlfn._xlws.FILTER(Listy!$D$2:$D$60,Listy!$C$2:$C$60=$C1315)),""))</f>
        <v/>
      </c>
    </row>
    <row r="1316" spans="7:36" ht="25" customHeight="1" x14ac:dyDescent="0.35">
      <c r="G1316" s="15" t="str">
        <f t="shared" si="78"/>
        <v/>
      </c>
      <c r="H1316" s="12" t="str">
        <f t="shared" ca="1" si="79"/>
        <v/>
      </c>
      <c r="I1316" s="14"/>
      <c r="J1316" s="1" t="str">
        <f>IF(COUNTA(A1316:F3603)=0,"",IF(#REF!="","BRAK PROTOKOŁU","DODANY"))</f>
        <v/>
      </c>
      <c r="K1316" s="1"/>
      <c r="M1316" s="13" t="str" cm="1">
        <f t="array" ref="M1316">IF($A1316="","",IFERROR(TRANSPOSE(_xlfn._xlws.FILTER(Lokale!$C$3:$C$91,Lokale!$B$3:$B$91=$A1316)),""))</f>
        <v/>
      </c>
      <c r="AJ1316" s="13" t="str" cm="1">
        <f t="array" ref="AJ1316">IF($C1316="","",IFERROR(TRANSPOSE(_xlfn._xlws.FILTER(Listy!$D$2:$D$60,Listy!$C$2:$C$60=$C1316)),""))</f>
        <v/>
      </c>
    </row>
    <row r="1317" spans="7:36" ht="25" customHeight="1" x14ac:dyDescent="0.35">
      <c r="G1317" s="15" t="str">
        <f t="shared" si="78"/>
        <v/>
      </c>
      <c r="H1317" s="12" t="str">
        <f t="shared" ca="1" si="79"/>
        <v/>
      </c>
      <c r="I1317" s="14"/>
      <c r="J1317" s="1" t="str">
        <f>IF(COUNTA(A1317:F3604)=0,"",IF(#REF!="","BRAK PROTOKOŁU","DODANY"))</f>
        <v/>
      </c>
      <c r="K1317" s="1"/>
      <c r="M1317" s="13" t="str" cm="1">
        <f t="array" ref="M1317">IF($A1317="","",IFERROR(TRANSPOSE(_xlfn._xlws.FILTER(Lokale!$C$3:$C$91,Lokale!$B$3:$B$91=$A1317)),""))</f>
        <v/>
      </c>
      <c r="AJ1317" s="13" t="str" cm="1">
        <f t="array" ref="AJ1317">IF($C1317="","",IFERROR(TRANSPOSE(_xlfn._xlws.FILTER(Listy!$D$2:$D$60,Listy!$C$2:$C$60=$C1317)),""))</f>
        <v/>
      </c>
    </row>
    <row r="1318" spans="7:36" ht="25" customHeight="1" x14ac:dyDescent="0.35">
      <c r="G1318" s="15" t="str">
        <f t="shared" si="78"/>
        <v/>
      </c>
      <c r="H1318" s="12" t="str">
        <f t="shared" ca="1" si="79"/>
        <v/>
      </c>
      <c r="I1318" s="14"/>
      <c r="J1318" s="1" t="str">
        <f>IF(COUNTA(A1318:F3605)=0,"",IF(#REF!="","BRAK PROTOKOŁU","DODANY"))</f>
        <v/>
      </c>
      <c r="K1318" s="1"/>
      <c r="M1318" s="13" t="str" cm="1">
        <f t="array" ref="M1318">IF($A1318="","",IFERROR(TRANSPOSE(_xlfn._xlws.FILTER(Lokale!$C$3:$C$91,Lokale!$B$3:$B$91=$A1318)),""))</f>
        <v/>
      </c>
      <c r="AJ1318" s="13" t="str" cm="1">
        <f t="array" ref="AJ1318">IF($C1318="","",IFERROR(TRANSPOSE(_xlfn._xlws.FILTER(Listy!$D$2:$D$60,Listy!$C$2:$C$60=$C1318)),""))</f>
        <v/>
      </c>
    </row>
    <row r="1319" spans="7:36" ht="25" customHeight="1" x14ac:dyDescent="0.35">
      <c r="G1319" s="15" t="str">
        <f t="shared" si="78"/>
        <v/>
      </c>
      <c r="H1319" s="12" t="str">
        <f t="shared" ca="1" si="79"/>
        <v/>
      </c>
      <c r="I1319" s="14"/>
      <c r="J1319" s="1" t="str">
        <f>IF(COUNTA(A1319:F3606)=0,"",IF(#REF!="","BRAK PROTOKOŁU","DODANY"))</f>
        <v/>
      </c>
      <c r="K1319" s="1"/>
      <c r="M1319" s="13" t="str" cm="1">
        <f t="array" ref="M1319">IF($A1319="","",IFERROR(TRANSPOSE(_xlfn._xlws.FILTER(Lokale!$C$3:$C$91,Lokale!$B$3:$B$91=$A1319)),""))</f>
        <v/>
      </c>
      <c r="AJ1319" s="13" t="str" cm="1">
        <f t="array" ref="AJ1319">IF($C1319="","",IFERROR(TRANSPOSE(_xlfn._xlws.FILTER(Listy!$D$2:$D$60,Listy!$C$2:$C$60=$C1319)),""))</f>
        <v/>
      </c>
    </row>
    <row r="1320" spans="7:36" ht="25" customHeight="1" x14ac:dyDescent="0.35">
      <c r="G1320" s="15" t="str">
        <f t="shared" si="78"/>
        <v/>
      </c>
      <c r="H1320" s="12" t="str">
        <f t="shared" ca="1" si="79"/>
        <v/>
      </c>
      <c r="I1320" s="14"/>
      <c r="J1320" s="1" t="str">
        <f>IF(COUNTA(A1320:F3607)=0,"",IF(#REF!="","BRAK PROTOKOŁU","DODANY"))</f>
        <v/>
      </c>
      <c r="K1320" s="1"/>
      <c r="M1320" s="13" t="str" cm="1">
        <f t="array" ref="M1320">IF($A1320="","",IFERROR(TRANSPOSE(_xlfn._xlws.FILTER(Lokale!$C$3:$C$91,Lokale!$B$3:$B$91=$A1320)),""))</f>
        <v/>
      </c>
      <c r="AJ1320" s="13" t="str" cm="1">
        <f t="array" ref="AJ1320">IF($C1320="","",IFERROR(TRANSPOSE(_xlfn._xlws.FILTER(Listy!$D$2:$D$60,Listy!$C$2:$C$60=$C1320)),""))</f>
        <v/>
      </c>
    </row>
    <row r="1321" spans="7:36" ht="25" customHeight="1" x14ac:dyDescent="0.35">
      <c r="G1321" s="15" t="str">
        <f t="shared" si="78"/>
        <v/>
      </c>
      <c r="H1321" s="12" t="str">
        <f t="shared" ca="1" si="79"/>
        <v/>
      </c>
      <c r="I1321" s="14"/>
      <c r="J1321" s="1" t="str">
        <f>IF(COUNTA(A1321:F3608)=0,"",IF(#REF!="","BRAK PROTOKOŁU","DODANY"))</f>
        <v/>
      </c>
      <c r="K1321" s="1"/>
      <c r="M1321" s="13" t="str" cm="1">
        <f t="array" ref="M1321">IF($A1321="","",IFERROR(TRANSPOSE(_xlfn._xlws.FILTER(Lokale!$C$3:$C$91,Lokale!$B$3:$B$91=$A1321)),""))</f>
        <v/>
      </c>
      <c r="AJ1321" s="13" t="str" cm="1">
        <f t="array" ref="AJ1321">IF($C1321="","",IFERROR(TRANSPOSE(_xlfn._xlws.FILTER(Listy!$D$2:$D$60,Listy!$C$2:$C$60=$C1321)),""))</f>
        <v/>
      </c>
    </row>
    <row r="1322" spans="7:36" ht="25" customHeight="1" x14ac:dyDescent="0.35">
      <c r="G1322" s="15" t="str">
        <f t="shared" si="78"/>
        <v/>
      </c>
      <c r="H1322" s="12" t="str">
        <f t="shared" ca="1" si="79"/>
        <v/>
      </c>
      <c r="I1322" s="14"/>
      <c r="J1322" s="1" t="str">
        <f>IF(COUNTA(A1322:F3609)=0,"",IF(#REF!="","BRAK PROTOKOŁU","DODANY"))</f>
        <v/>
      </c>
      <c r="K1322" s="1"/>
      <c r="M1322" s="13" t="str" cm="1">
        <f t="array" ref="M1322">IF($A1322="","",IFERROR(TRANSPOSE(_xlfn._xlws.FILTER(Lokale!$C$3:$C$91,Lokale!$B$3:$B$91=$A1322)),""))</f>
        <v/>
      </c>
      <c r="AJ1322" s="13" t="str" cm="1">
        <f t="array" ref="AJ1322">IF($C1322="","",IFERROR(TRANSPOSE(_xlfn._xlws.FILTER(Listy!$D$2:$D$60,Listy!$C$2:$C$60=$C1322)),""))</f>
        <v/>
      </c>
    </row>
    <row r="1323" spans="7:36" ht="25" customHeight="1" x14ac:dyDescent="0.35">
      <c r="G1323" s="15" t="str">
        <f t="shared" si="78"/>
        <v/>
      </c>
      <c r="H1323" s="12" t="str">
        <f t="shared" ca="1" si="79"/>
        <v/>
      </c>
      <c r="I1323" s="14"/>
      <c r="J1323" s="1" t="str">
        <f>IF(COUNTA(A1323:F3610)=0,"",IF(#REF!="","BRAK PROTOKOŁU","DODANY"))</f>
        <v/>
      </c>
      <c r="K1323" s="1"/>
      <c r="M1323" s="13" t="str" cm="1">
        <f t="array" ref="M1323">IF($A1323="","",IFERROR(TRANSPOSE(_xlfn._xlws.FILTER(Lokale!$C$3:$C$91,Lokale!$B$3:$B$91=$A1323)),""))</f>
        <v/>
      </c>
      <c r="AJ1323" s="13" t="str" cm="1">
        <f t="array" ref="AJ1323">IF($C1323="","",IFERROR(TRANSPOSE(_xlfn._xlws.FILTER(Listy!$D$2:$D$60,Listy!$C$2:$C$60=$C1323)),""))</f>
        <v/>
      </c>
    </row>
    <row r="1324" spans="7:36" ht="25" customHeight="1" x14ac:dyDescent="0.35">
      <c r="G1324" s="15" t="str">
        <f t="shared" si="78"/>
        <v/>
      </c>
      <c r="H1324" s="12" t="str">
        <f t="shared" ca="1" si="79"/>
        <v/>
      </c>
      <c r="I1324" s="14"/>
      <c r="J1324" s="1" t="str">
        <f>IF(COUNTA(A1324:F3611)=0,"",IF(#REF!="","BRAK PROTOKOŁU","DODANY"))</f>
        <v/>
      </c>
      <c r="K1324" s="1"/>
      <c r="M1324" s="13" t="str" cm="1">
        <f t="array" ref="M1324">IF($A1324="","",IFERROR(TRANSPOSE(_xlfn._xlws.FILTER(Lokale!$C$3:$C$91,Lokale!$B$3:$B$91=$A1324)),""))</f>
        <v/>
      </c>
      <c r="AJ1324" s="13" t="str" cm="1">
        <f t="array" ref="AJ1324">IF($C1324="","",IFERROR(TRANSPOSE(_xlfn._xlws.FILTER(Listy!$D$2:$D$60,Listy!$C$2:$C$60=$C1324)),""))</f>
        <v/>
      </c>
    </row>
    <row r="1325" spans="7:36" ht="25" customHeight="1" x14ac:dyDescent="0.35">
      <c r="G1325" s="15" t="str">
        <f t="shared" si="78"/>
        <v/>
      </c>
      <c r="H1325" s="12" t="str">
        <f t="shared" ca="1" si="79"/>
        <v/>
      </c>
      <c r="I1325" s="14"/>
      <c r="J1325" s="1" t="str">
        <f>IF(COUNTA(A1325:F3612)=0,"",IF(#REF!="","BRAK PROTOKOŁU","DODANY"))</f>
        <v/>
      </c>
      <c r="K1325" s="1"/>
      <c r="M1325" s="13" t="str" cm="1">
        <f t="array" ref="M1325">IF($A1325="","",IFERROR(TRANSPOSE(_xlfn._xlws.FILTER(Lokale!$C$3:$C$91,Lokale!$B$3:$B$91=$A1325)),""))</f>
        <v/>
      </c>
      <c r="AJ1325" s="13" t="str" cm="1">
        <f t="array" ref="AJ1325">IF($C1325="","",IFERROR(TRANSPOSE(_xlfn._xlws.FILTER(Listy!$D$2:$D$60,Listy!$C$2:$C$60=$C1325)),""))</f>
        <v/>
      </c>
    </row>
    <row r="1326" spans="7:36" ht="25" customHeight="1" x14ac:dyDescent="0.35">
      <c r="G1326" s="15" t="str">
        <f t="shared" si="78"/>
        <v/>
      </c>
      <c r="H1326" s="12" t="str">
        <f t="shared" ca="1" si="79"/>
        <v/>
      </c>
      <c r="I1326" s="14"/>
      <c r="J1326" s="1" t="str">
        <f>IF(COUNTA(A1326:F3613)=0,"",IF(#REF!="","BRAK PROTOKOŁU","DODANY"))</f>
        <v/>
      </c>
      <c r="K1326" s="1"/>
      <c r="M1326" s="13" t="str" cm="1">
        <f t="array" ref="M1326">IF($A1326="","",IFERROR(TRANSPOSE(_xlfn._xlws.FILTER(Lokale!$C$3:$C$91,Lokale!$B$3:$B$91=$A1326)),""))</f>
        <v/>
      </c>
      <c r="AJ1326" s="13" t="str" cm="1">
        <f t="array" ref="AJ1326">IF($C1326="","",IFERROR(TRANSPOSE(_xlfn._xlws.FILTER(Listy!$D$2:$D$60,Listy!$C$2:$C$60=$C1326)),""))</f>
        <v/>
      </c>
    </row>
    <row r="1327" spans="7:36" ht="25" customHeight="1" x14ac:dyDescent="0.35">
      <c r="G1327" s="15" t="str">
        <f t="shared" si="78"/>
        <v/>
      </c>
      <c r="H1327" s="12" t="str">
        <f t="shared" ca="1" si="79"/>
        <v/>
      </c>
      <c r="I1327" s="14"/>
      <c r="J1327" s="1" t="str">
        <f>IF(COUNTA(A1327:F3614)=0,"",IF(#REF!="","BRAK PROTOKOŁU","DODANY"))</f>
        <v/>
      </c>
      <c r="K1327" s="1"/>
      <c r="M1327" s="13" t="str" cm="1">
        <f t="array" ref="M1327">IF($A1327="","",IFERROR(TRANSPOSE(_xlfn._xlws.FILTER(Lokale!$C$3:$C$91,Lokale!$B$3:$B$91=$A1327)),""))</f>
        <v/>
      </c>
      <c r="AJ1327" s="13" t="str" cm="1">
        <f t="array" ref="AJ1327">IF($C1327="","",IFERROR(TRANSPOSE(_xlfn._xlws.FILTER(Listy!$D$2:$D$60,Listy!$C$2:$C$60=$C1327)),""))</f>
        <v/>
      </c>
    </row>
    <row r="1328" spans="7:36" ht="25" customHeight="1" x14ac:dyDescent="0.35">
      <c r="G1328" s="15" t="str">
        <f t="shared" si="78"/>
        <v/>
      </c>
      <c r="H1328" s="12" t="str">
        <f t="shared" ca="1" si="79"/>
        <v/>
      </c>
      <c r="I1328" s="14"/>
      <c r="J1328" s="1" t="str">
        <f>IF(COUNTA(A1328:F3615)=0,"",IF(#REF!="","BRAK PROTOKOŁU","DODANY"))</f>
        <v/>
      </c>
      <c r="K1328" s="1"/>
      <c r="M1328" s="13" t="str" cm="1">
        <f t="array" ref="M1328">IF($A1328="","",IFERROR(TRANSPOSE(_xlfn._xlws.FILTER(Lokale!$C$3:$C$91,Lokale!$B$3:$B$91=$A1328)),""))</f>
        <v/>
      </c>
      <c r="AJ1328" s="13" t="str" cm="1">
        <f t="array" ref="AJ1328">IF($C1328="","",IFERROR(TRANSPOSE(_xlfn._xlws.FILTER(Listy!$D$2:$D$60,Listy!$C$2:$C$60=$C1328)),""))</f>
        <v/>
      </c>
    </row>
    <row r="1329" spans="7:36" ht="25" customHeight="1" x14ac:dyDescent="0.35">
      <c r="G1329" s="15" t="str">
        <f t="shared" si="78"/>
        <v/>
      </c>
      <c r="H1329" s="12" t="str">
        <f t="shared" ca="1" si="79"/>
        <v/>
      </c>
      <c r="I1329" s="14"/>
      <c r="J1329" s="1" t="str">
        <f>IF(COUNTA(A1329:F3616)=0,"",IF(#REF!="","BRAK PROTOKOŁU","DODANY"))</f>
        <v/>
      </c>
      <c r="K1329" s="1"/>
      <c r="M1329" s="13" t="str" cm="1">
        <f t="array" ref="M1329">IF($A1329="","",IFERROR(TRANSPOSE(_xlfn._xlws.FILTER(Lokale!$C$3:$C$91,Lokale!$B$3:$B$91=$A1329)),""))</f>
        <v/>
      </c>
      <c r="AJ1329" s="13" t="str" cm="1">
        <f t="array" ref="AJ1329">IF($C1329="","",IFERROR(TRANSPOSE(_xlfn._xlws.FILTER(Listy!$D$2:$D$60,Listy!$C$2:$C$60=$C1329)),""))</f>
        <v/>
      </c>
    </row>
    <row r="1330" spans="7:36" ht="25" customHeight="1" x14ac:dyDescent="0.35">
      <c r="G1330" s="15" t="str">
        <f t="shared" si="78"/>
        <v/>
      </c>
      <c r="H1330" s="12" t="str">
        <f t="shared" ca="1" si="79"/>
        <v/>
      </c>
      <c r="I1330" s="14"/>
      <c r="J1330" s="1" t="str">
        <f>IF(COUNTA(A1330:F3617)=0,"",IF(#REF!="","BRAK PROTOKOŁU","DODANY"))</f>
        <v/>
      </c>
      <c r="K1330" s="1"/>
      <c r="M1330" s="13" t="str" cm="1">
        <f t="array" ref="M1330">IF($A1330="","",IFERROR(TRANSPOSE(_xlfn._xlws.FILTER(Lokale!$C$3:$C$91,Lokale!$B$3:$B$91=$A1330)),""))</f>
        <v/>
      </c>
      <c r="AJ1330" s="13" t="str" cm="1">
        <f t="array" ref="AJ1330">IF($C1330="","",IFERROR(TRANSPOSE(_xlfn._xlws.FILTER(Listy!$D$2:$D$60,Listy!$C$2:$C$60=$C1330)),""))</f>
        <v/>
      </c>
    </row>
    <row r="1331" spans="7:36" ht="25" customHeight="1" x14ac:dyDescent="0.35">
      <c r="G1331" s="15" t="str">
        <f t="shared" si="78"/>
        <v/>
      </c>
      <c r="H1331" s="12" t="str">
        <f t="shared" ca="1" si="79"/>
        <v/>
      </c>
      <c r="I1331" s="14"/>
      <c r="J1331" s="1" t="str">
        <f>IF(COUNTA(A1331:F3618)=0,"",IF(#REF!="","BRAK PROTOKOŁU","DODANY"))</f>
        <v/>
      </c>
      <c r="K1331" s="1"/>
      <c r="M1331" s="13" t="str" cm="1">
        <f t="array" ref="M1331">IF($A1331="","",IFERROR(TRANSPOSE(_xlfn._xlws.FILTER(Lokale!$C$3:$C$91,Lokale!$B$3:$B$91=$A1331)),""))</f>
        <v/>
      </c>
      <c r="AJ1331" s="13" t="str" cm="1">
        <f t="array" ref="AJ1331">IF($C1331="","",IFERROR(TRANSPOSE(_xlfn._xlws.FILTER(Listy!$D$2:$D$60,Listy!$C$2:$C$60=$C1331)),""))</f>
        <v/>
      </c>
    </row>
    <row r="1332" spans="7:36" ht="25" customHeight="1" x14ac:dyDescent="0.35">
      <c r="G1332" s="15" t="str">
        <f t="shared" si="78"/>
        <v/>
      </c>
      <c r="H1332" s="12" t="str">
        <f t="shared" ca="1" si="79"/>
        <v/>
      </c>
      <c r="I1332" s="14"/>
      <c r="J1332" s="1" t="str">
        <f>IF(COUNTA(A1332:F3619)=0,"",IF(#REF!="","BRAK PROTOKOŁU","DODANY"))</f>
        <v/>
      </c>
      <c r="K1332" s="1"/>
      <c r="M1332" s="13" t="str" cm="1">
        <f t="array" ref="M1332">IF($A1332="","",IFERROR(TRANSPOSE(_xlfn._xlws.FILTER(Lokale!$C$3:$C$91,Lokale!$B$3:$B$91=$A1332)),""))</f>
        <v/>
      </c>
      <c r="AJ1332" s="13" t="str" cm="1">
        <f t="array" ref="AJ1332">IF($C1332="","",IFERROR(TRANSPOSE(_xlfn._xlws.FILTER(Listy!$D$2:$D$60,Listy!$C$2:$C$60=$C1332)),""))</f>
        <v/>
      </c>
    </row>
    <row r="1333" spans="7:36" ht="25" customHeight="1" x14ac:dyDescent="0.35">
      <c r="G1333" s="15" t="str">
        <f t="shared" si="78"/>
        <v/>
      </c>
      <c r="H1333" s="12" t="str">
        <f t="shared" ca="1" si="79"/>
        <v/>
      </c>
      <c r="I1333" s="14"/>
      <c r="J1333" s="1" t="str">
        <f>IF(COUNTA(A1333:F3620)=0,"",IF(#REF!="","BRAK PROTOKOŁU","DODANY"))</f>
        <v/>
      </c>
      <c r="K1333" s="1"/>
      <c r="M1333" s="13" t="str" cm="1">
        <f t="array" ref="M1333">IF($A1333="","",IFERROR(TRANSPOSE(_xlfn._xlws.FILTER(Lokale!$C$3:$C$91,Lokale!$B$3:$B$91=$A1333)),""))</f>
        <v/>
      </c>
      <c r="AJ1333" s="13" t="str" cm="1">
        <f t="array" ref="AJ1333">IF($C1333="","",IFERROR(TRANSPOSE(_xlfn._xlws.FILTER(Listy!$D$2:$D$60,Listy!$C$2:$C$60=$C1333)),""))</f>
        <v/>
      </c>
    </row>
    <row r="1334" spans="7:36" ht="25" customHeight="1" x14ac:dyDescent="0.35">
      <c r="G1334" s="15" t="str">
        <f t="shared" si="78"/>
        <v/>
      </c>
      <c r="H1334" s="12" t="str">
        <f t="shared" ca="1" si="79"/>
        <v/>
      </c>
      <c r="I1334" s="14"/>
      <c r="J1334" s="1" t="str">
        <f>IF(COUNTA(A1334:F3621)=0,"",IF(#REF!="","BRAK PROTOKOŁU","DODANY"))</f>
        <v/>
      </c>
      <c r="K1334" s="1"/>
      <c r="M1334" s="13" t="str" cm="1">
        <f t="array" ref="M1334">IF($A1334="","",IFERROR(TRANSPOSE(_xlfn._xlws.FILTER(Lokale!$C$3:$C$91,Lokale!$B$3:$B$91=$A1334)),""))</f>
        <v/>
      </c>
      <c r="AJ1334" s="13" t="str" cm="1">
        <f t="array" ref="AJ1334">IF($C1334="","",IFERROR(TRANSPOSE(_xlfn._xlws.FILTER(Listy!$D$2:$D$60,Listy!$C$2:$C$60=$C1334)),""))</f>
        <v/>
      </c>
    </row>
    <row r="1335" spans="7:36" ht="25" customHeight="1" x14ac:dyDescent="0.35">
      <c r="G1335" s="15" t="str">
        <f t="shared" si="78"/>
        <v/>
      </c>
      <c r="H1335" s="12" t="str">
        <f t="shared" ca="1" si="79"/>
        <v/>
      </c>
      <c r="I1335" s="14"/>
      <c r="J1335" s="1" t="str">
        <f>IF(COUNTA(A1335:F3622)=0,"",IF(#REF!="","BRAK PROTOKOŁU","DODANY"))</f>
        <v/>
      </c>
      <c r="K1335" s="1"/>
      <c r="M1335" s="13" t="str" cm="1">
        <f t="array" ref="M1335">IF($A1335="","",IFERROR(TRANSPOSE(_xlfn._xlws.FILTER(Lokale!$C$3:$C$91,Lokale!$B$3:$B$91=$A1335)),""))</f>
        <v/>
      </c>
      <c r="AJ1335" s="13" t="str" cm="1">
        <f t="array" ref="AJ1335">IF($C1335="","",IFERROR(TRANSPOSE(_xlfn._xlws.FILTER(Listy!$D$2:$D$60,Listy!$C$2:$C$60=$C1335)),""))</f>
        <v/>
      </c>
    </row>
    <row r="1336" spans="7:36" ht="25" customHeight="1" x14ac:dyDescent="0.35">
      <c r="G1336" s="15" t="str">
        <f t="shared" si="78"/>
        <v/>
      </c>
      <c r="H1336" s="12" t="str">
        <f t="shared" ca="1" si="79"/>
        <v/>
      </c>
      <c r="I1336" s="14"/>
      <c r="J1336" s="1" t="str">
        <f>IF(COUNTA(A1336:F3623)=0,"",IF(#REF!="","BRAK PROTOKOŁU","DODANY"))</f>
        <v/>
      </c>
      <c r="K1336" s="1"/>
      <c r="M1336" s="13" t="str" cm="1">
        <f t="array" ref="M1336">IF($A1336="","",IFERROR(TRANSPOSE(_xlfn._xlws.FILTER(Lokale!$C$3:$C$91,Lokale!$B$3:$B$91=$A1336)),""))</f>
        <v/>
      </c>
      <c r="AJ1336" s="13" t="str" cm="1">
        <f t="array" ref="AJ1336">IF($C1336="","",IFERROR(TRANSPOSE(_xlfn._xlws.FILTER(Listy!$D$2:$D$60,Listy!$C$2:$C$60=$C1336)),""))</f>
        <v/>
      </c>
    </row>
    <row r="1337" spans="7:36" ht="25" customHeight="1" x14ac:dyDescent="0.35">
      <c r="G1337" s="15" t="str">
        <f t="shared" si="78"/>
        <v/>
      </c>
      <c r="H1337" s="12" t="str">
        <f t="shared" ca="1" si="79"/>
        <v/>
      </c>
      <c r="I1337" s="14"/>
      <c r="J1337" s="1" t="str">
        <f>IF(COUNTA(A1337:F3624)=0,"",IF(#REF!="","BRAK PROTOKOŁU","DODANY"))</f>
        <v/>
      </c>
      <c r="K1337" s="1"/>
      <c r="M1337" s="13" t="str" cm="1">
        <f t="array" ref="M1337">IF($A1337="","",IFERROR(TRANSPOSE(_xlfn._xlws.FILTER(Lokale!$C$3:$C$91,Lokale!$B$3:$B$91=$A1337)),""))</f>
        <v/>
      </c>
      <c r="AJ1337" s="13" t="str" cm="1">
        <f t="array" ref="AJ1337">IF($C1337="","",IFERROR(TRANSPOSE(_xlfn._xlws.FILTER(Listy!$D$2:$D$60,Listy!$C$2:$C$60=$C1337)),""))</f>
        <v/>
      </c>
    </row>
    <row r="1338" spans="7:36" ht="25" customHeight="1" x14ac:dyDescent="0.35">
      <c r="G1338" s="15" t="str">
        <f t="shared" si="78"/>
        <v/>
      </c>
      <c r="H1338" s="12" t="str">
        <f t="shared" ca="1" si="79"/>
        <v/>
      </c>
      <c r="I1338" s="14"/>
      <c r="J1338" s="1" t="str">
        <f>IF(COUNTA(A1338:F3625)=0,"",IF(#REF!="","BRAK PROTOKOŁU","DODANY"))</f>
        <v/>
      </c>
      <c r="K1338" s="1"/>
      <c r="M1338" s="13" t="str" cm="1">
        <f t="array" ref="M1338">IF($A1338="","",IFERROR(TRANSPOSE(_xlfn._xlws.FILTER(Lokale!$C$3:$C$91,Lokale!$B$3:$B$91=$A1338)),""))</f>
        <v/>
      </c>
      <c r="AJ1338" s="13" t="str" cm="1">
        <f t="array" ref="AJ1338">IF($C1338="","",IFERROR(TRANSPOSE(_xlfn._xlws.FILTER(Listy!$D$2:$D$60,Listy!$C$2:$C$60=$C1338)),""))</f>
        <v/>
      </c>
    </row>
    <row r="1339" spans="7:36" ht="25" customHeight="1" x14ac:dyDescent="0.35">
      <c r="G1339" s="15" t="str">
        <f t="shared" si="78"/>
        <v/>
      </c>
      <c r="H1339" s="12" t="str">
        <f t="shared" ca="1" si="79"/>
        <v/>
      </c>
      <c r="I1339" s="14"/>
      <c r="J1339" s="1" t="str">
        <f>IF(COUNTA(A1339:F3626)=0,"",IF(#REF!="","BRAK PROTOKOŁU","DODANY"))</f>
        <v/>
      </c>
      <c r="K1339" s="1"/>
      <c r="M1339" s="13" t="str" cm="1">
        <f t="array" ref="M1339">IF($A1339="","",IFERROR(TRANSPOSE(_xlfn._xlws.FILTER(Lokale!$C$3:$C$91,Lokale!$B$3:$B$91=$A1339)),""))</f>
        <v/>
      </c>
      <c r="AJ1339" s="13" t="str" cm="1">
        <f t="array" ref="AJ1339">IF($C1339="","",IFERROR(TRANSPOSE(_xlfn._xlws.FILTER(Listy!$D$2:$D$60,Listy!$C$2:$C$60=$C1339)),""))</f>
        <v/>
      </c>
    </row>
    <row r="1340" spans="7:36" ht="25" customHeight="1" x14ac:dyDescent="0.35">
      <c r="G1340" s="15" t="str">
        <f t="shared" si="78"/>
        <v/>
      </c>
      <c r="H1340" s="12" t="str">
        <f t="shared" ca="1" si="79"/>
        <v/>
      </c>
      <c r="I1340" s="14"/>
      <c r="J1340" s="1" t="str">
        <f>IF(COUNTA(A1340:F3627)=0,"",IF(#REF!="","BRAK PROTOKOŁU","DODANY"))</f>
        <v/>
      </c>
      <c r="K1340" s="1"/>
      <c r="M1340" s="13" t="str" cm="1">
        <f t="array" ref="M1340">IF($A1340="","",IFERROR(TRANSPOSE(_xlfn._xlws.FILTER(Lokale!$C$3:$C$91,Lokale!$B$3:$B$91=$A1340)),""))</f>
        <v/>
      </c>
      <c r="AJ1340" s="13" t="str" cm="1">
        <f t="array" ref="AJ1340">IF($C1340="","",IFERROR(TRANSPOSE(_xlfn._xlws.FILTER(Listy!$D$2:$D$60,Listy!$C$2:$C$60=$C1340)),""))</f>
        <v/>
      </c>
    </row>
    <row r="1341" spans="7:36" ht="25" customHeight="1" x14ac:dyDescent="0.35">
      <c r="G1341" s="15" t="str">
        <f t="shared" si="78"/>
        <v/>
      </c>
      <c r="H1341" s="12" t="str">
        <f t="shared" ca="1" si="79"/>
        <v/>
      </c>
      <c r="I1341" s="14"/>
      <c r="J1341" s="1" t="str">
        <f>IF(COUNTA(A1341:F3628)=0,"",IF(#REF!="","BRAK PROTOKOŁU","DODANY"))</f>
        <v/>
      </c>
      <c r="K1341" s="1"/>
      <c r="M1341" s="13" t="str" cm="1">
        <f t="array" ref="M1341">IF($A1341="","",IFERROR(TRANSPOSE(_xlfn._xlws.FILTER(Lokale!$C$3:$C$91,Lokale!$B$3:$B$91=$A1341)),""))</f>
        <v/>
      </c>
      <c r="AJ1341" s="13" t="str" cm="1">
        <f t="array" ref="AJ1341">IF($C1341="","",IFERROR(TRANSPOSE(_xlfn._xlws.FILTER(Listy!$D$2:$D$60,Listy!$C$2:$C$60=$C1341)),""))</f>
        <v/>
      </c>
    </row>
    <row r="1342" spans="7:36" ht="25" customHeight="1" x14ac:dyDescent="0.35">
      <c r="G1342" s="15" t="str">
        <f t="shared" si="78"/>
        <v/>
      </c>
      <c r="H1342" s="12" t="str">
        <f t="shared" ca="1" si="79"/>
        <v/>
      </c>
      <c r="I1342" s="14"/>
      <c r="J1342" s="1" t="str">
        <f>IF(COUNTA(A1342:F3629)=0,"",IF(#REF!="","BRAK PROTOKOŁU","DODANY"))</f>
        <v/>
      </c>
      <c r="K1342" s="1"/>
      <c r="M1342" s="13" t="str" cm="1">
        <f t="array" ref="M1342">IF($A1342="","",IFERROR(TRANSPOSE(_xlfn._xlws.FILTER(Lokale!$C$3:$C$91,Lokale!$B$3:$B$91=$A1342)),""))</f>
        <v/>
      </c>
      <c r="AJ1342" s="13" t="str" cm="1">
        <f t="array" ref="AJ1342">IF($C1342="","",IFERROR(TRANSPOSE(_xlfn._xlws.FILTER(Listy!$D$2:$D$60,Listy!$C$2:$C$60=$C1342)),""))</f>
        <v/>
      </c>
    </row>
    <row r="1343" spans="7:36" ht="25" customHeight="1" x14ac:dyDescent="0.35">
      <c r="G1343" s="15" t="str">
        <f t="shared" si="78"/>
        <v/>
      </c>
      <c r="H1343" s="12" t="str">
        <f t="shared" ca="1" si="79"/>
        <v/>
      </c>
      <c r="I1343" s="14"/>
      <c r="J1343" s="1" t="str">
        <f>IF(COUNTA(A1343:F3630)=0,"",IF(#REF!="","BRAK PROTOKOŁU","DODANY"))</f>
        <v/>
      </c>
      <c r="K1343" s="1"/>
      <c r="M1343" s="13" t="str" cm="1">
        <f t="array" ref="M1343">IF($A1343="","",IFERROR(TRANSPOSE(_xlfn._xlws.FILTER(Lokale!$C$3:$C$91,Lokale!$B$3:$B$91=$A1343)),""))</f>
        <v/>
      </c>
      <c r="AJ1343" s="13" t="str" cm="1">
        <f t="array" ref="AJ1343">IF($C1343="","",IFERROR(TRANSPOSE(_xlfn._xlws.FILTER(Listy!$D$2:$D$60,Listy!$C$2:$C$60=$C1343)),""))</f>
        <v/>
      </c>
    </row>
    <row r="1344" spans="7:36" ht="25" customHeight="1" x14ac:dyDescent="0.35">
      <c r="G1344" s="15" t="str">
        <f t="shared" si="78"/>
        <v/>
      </c>
      <c r="H1344" s="12" t="str">
        <f t="shared" ca="1" si="79"/>
        <v/>
      </c>
      <c r="I1344" s="14"/>
      <c r="J1344" s="1" t="str">
        <f>IF(COUNTA(A1344:F3631)=0,"",IF(#REF!="","BRAK PROTOKOŁU","DODANY"))</f>
        <v/>
      </c>
      <c r="K1344" s="1"/>
      <c r="M1344" s="13" t="str" cm="1">
        <f t="array" ref="M1344">IF($A1344="","",IFERROR(TRANSPOSE(_xlfn._xlws.FILTER(Lokale!$C$3:$C$91,Lokale!$B$3:$B$91=$A1344)),""))</f>
        <v/>
      </c>
      <c r="AJ1344" s="13" t="str" cm="1">
        <f t="array" ref="AJ1344">IF($C1344="","",IFERROR(TRANSPOSE(_xlfn._xlws.FILTER(Listy!$D$2:$D$60,Listy!$C$2:$C$60=$C1344)),""))</f>
        <v/>
      </c>
    </row>
    <row r="1345" spans="7:36" ht="25" customHeight="1" x14ac:dyDescent="0.35">
      <c r="G1345" s="15" t="str">
        <f t="shared" si="78"/>
        <v/>
      </c>
      <c r="H1345" s="12" t="str">
        <f t="shared" ca="1" si="79"/>
        <v/>
      </c>
      <c r="I1345" s="14"/>
      <c r="J1345" s="1" t="str">
        <f>IF(COUNTA(A1345:F3632)=0,"",IF(#REF!="","BRAK PROTOKOŁU","DODANY"))</f>
        <v/>
      </c>
      <c r="K1345" s="1"/>
      <c r="M1345" s="13" t="str" cm="1">
        <f t="array" ref="M1345">IF($A1345="","",IFERROR(TRANSPOSE(_xlfn._xlws.FILTER(Lokale!$C$3:$C$91,Lokale!$B$3:$B$91=$A1345)),""))</f>
        <v/>
      </c>
      <c r="AJ1345" s="13" t="str" cm="1">
        <f t="array" ref="AJ1345">IF($C1345="","",IFERROR(TRANSPOSE(_xlfn._xlws.FILTER(Listy!$D$2:$D$60,Listy!$C$2:$C$60=$C1345)),""))</f>
        <v/>
      </c>
    </row>
    <row r="1346" spans="7:36" ht="25" customHeight="1" x14ac:dyDescent="0.35">
      <c r="G1346" s="15" t="str">
        <f t="shared" si="78"/>
        <v/>
      </c>
      <c r="H1346" s="12" t="str">
        <f t="shared" ca="1" si="79"/>
        <v/>
      </c>
      <c r="I1346" s="14"/>
      <c r="J1346" s="1" t="str">
        <f>IF(COUNTA(A1346:F3633)=0,"",IF(#REF!="","BRAK PROTOKOŁU","DODANY"))</f>
        <v/>
      </c>
      <c r="K1346" s="1"/>
      <c r="M1346" s="13" t="str" cm="1">
        <f t="array" ref="M1346">IF($A1346="","",IFERROR(TRANSPOSE(_xlfn._xlws.FILTER(Lokale!$C$3:$C$91,Lokale!$B$3:$B$91=$A1346)),""))</f>
        <v/>
      </c>
      <c r="AJ1346" s="13" t="str" cm="1">
        <f t="array" ref="AJ1346">IF($C1346="","",IFERROR(TRANSPOSE(_xlfn._xlws.FILTER(Listy!$D$2:$D$60,Listy!$C$2:$C$60=$C1346)),""))</f>
        <v/>
      </c>
    </row>
    <row r="1347" spans="7:36" ht="25" customHeight="1" x14ac:dyDescent="0.35">
      <c r="G1347" s="15" t="str">
        <f t="shared" si="78"/>
        <v/>
      </c>
      <c r="H1347" s="12" t="str">
        <f t="shared" ca="1" si="79"/>
        <v/>
      </c>
      <c r="I1347" s="14"/>
      <c r="J1347" s="1" t="str">
        <f>IF(COUNTA(A1347:F3634)=0,"",IF(#REF!="","BRAK PROTOKOŁU","DODANY"))</f>
        <v/>
      </c>
      <c r="K1347" s="1"/>
      <c r="M1347" s="13" t="str" cm="1">
        <f t="array" ref="M1347">IF($A1347="","",IFERROR(TRANSPOSE(_xlfn._xlws.FILTER(Lokale!$C$3:$C$91,Lokale!$B$3:$B$91=$A1347)),""))</f>
        <v/>
      </c>
      <c r="AJ1347" s="13" t="str" cm="1">
        <f t="array" ref="AJ1347">IF($C1347="","",IFERROR(TRANSPOSE(_xlfn._xlws.FILTER(Listy!$D$2:$D$60,Listy!$C$2:$C$60=$C1347)),""))</f>
        <v/>
      </c>
    </row>
    <row r="1348" spans="7:36" ht="25" customHeight="1" x14ac:dyDescent="0.35">
      <c r="G1348" s="15" t="str">
        <f t="shared" si="78"/>
        <v/>
      </c>
      <c r="H1348" s="12" t="str">
        <f t="shared" ca="1" si="79"/>
        <v/>
      </c>
      <c r="I1348" s="14"/>
      <c r="J1348" s="1" t="str">
        <f>IF(COUNTA(A1348:F3635)=0,"",IF(#REF!="","BRAK PROTOKOŁU","DODANY"))</f>
        <v/>
      </c>
      <c r="K1348" s="1"/>
      <c r="M1348" s="13" t="str" cm="1">
        <f t="array" ref="M1348">IF($A1348="","",IFERROR(TRANSPOSE(_xlfn._xlws.FILTER(Lokale!$C$3:$C$91,Lokale!$B$3:$B$91=$A1348)),""))</f>
        <v/>
      </c>
      <c r="AJ1348" s="13" t="str" cm="1">
        <f t="array" ref="AJ1348">IF($C1348="","",IFERROR(TRANSPOSE(_xlfn._xlws.FILTER(Listy!$D$2:$D$60,Listy!$C$2:$C$60=$C1348)),""))</f>
        <v/>
      </c>
    </row>
    <row r="1349" spans="7:36" ht="25" customHeight="1" x14ac:dyDescent="0.35">
      <c r="G1349" s="15" t="str">
        <f t="shared" si="78"/>
        <v/>
      </c>
      <c r="H1349" s="12" t="str">
        <f t="shared" ca="1" si="79"/>
        <v/>
      </c>
      <c r="I1349" s="14"/>
      <c r="J1349" s="1" t="str">
        <f>IF(COUNTA(A1349:F3636)=0,"",IF(#REF!="","BRAK PROTOKOŁU","DODANY"))</f>
        <v/>
      </c>
      <c r="K1349" s="1"/>
      <c r="M1349" s="13" t="str" cm="1">
        <f t="array" ref="M1349">IF($A1349="","",IFERROR(TRANSPOSE(_xlfn._xlws.FILTER(Lokale!$C$3:$C$91,Lokale!$B$3:$B$91=$A1349)),""))</f>
        <v/>
      </c>
      <c r="AJ1349" s="13" t="str" cm="1">
        <f t="array" ref="AJ1349">IF($C1349="","",IFERROR(TRANSPOSE(_xlfn._xlws.FILTER(Listy!$D$2:$D$60,Listy!$C$2:$C$60=$C1349)),""))</f>
        <v/>
      </c>
    </row>
    <row r="1350" spans="7:36" ht="25" customHeight="1" x14ac:dyDescent="0.35">
      <c r="G1350" s="15" t="str">
        <f t="shared" si="78"/>
        <v/>
      </c>
      <c r="H1350" s="12" t="str">
        <f t="shared" ca="1" si="79"/>
        <v/>
      </c>
      <c r="I1350" s="14"/>
      <c r="J1350" s="1" t="str">
        <f>IF(COUNTA(A1350:F3637)=0,"",IF(#REF!="","BRAK PROTOKOŁU","DODANY"))</f>
        <v/>
      </c>
      <c r="K1350" s="1"/>
      <c r="M1350" s="13" t="str" cm="1">
        <f t="array" ref="M1350">IF($A1350="","",IFERROR(TRANSPOSE(_xlfn._xlws.FILTER(Lokale!$C$3:$C$91,Lokale!$B$3:$B$91=$A1350)),""))</f>
        <v/>
      </c>
      <c r="AJ1350" s="13" t="str" cm="1">
        <f t="array" ref="AJ1350">IF($C1350="","",IFERROR(TRANSPOSE(_xlfn._xlws.FILTER(Listy!$D$2:$D$60,Listy!$C$2:$C$60=$C1350)),""))</f>
        <v/>
      </c>
    </row>
    <row r="1351" spans="7:36" ht="25" customHeight="1" x14ac:dyDescent="0.35">
      <c r="G1351" s="15" t="str">
        <f t="shared" si="78"/>
        <v/>
      </c>
      <c r="H1351" s="12" t="str">
        <f t="shared" ca="1" si="79"/>
        <v/>
      </c>
      <c r="I1351" s="14"/>
      <c r="J1351" s="1" t="str">
        <f>IF(COUNTA(A1351:F3638)=0,"",IF(#REF!="","BRAK PROTOKOŁU","DODANY"))</f>
        <v/>
      </c>
      <c r="K1351" s="1"/>
      <c r="M1351" s="13" t="str" cm="1">
        <f t="array" ref="M1351">IF($A1351="","",IFERROR(TRANSPOSE(_xlfn._xlws.FILTER(Lokale!$C$3:$C$91,Lokale!$B$3:$B$91=$A1351)),""))</f>
        <v/>
      </c>
      <c r="AJ1351" s="13" t="str" cm="1">
        <f t="array" ref="AJ1351">IF($C1351="","",IFERROR(TRANSPOSE(_xlfn._xlws.FILTER(Listy!$D$2:$D$60,Listy!$C$2:$C$60=$C1351)),""))</f>
        <v/>
      </c>
    </row>
    <row r="1352" spans="7:36" ht="25" customHeight="1" x14ac:dyDescent="0.35">
      <c r="G1352" s="15" t="str">
        <f t="shared" si="78"/>
        <v/>
      </c>
      <c r="H1352" s="12" t="str">
        <f t="shared" ca="1" si="79"/>
        <v/>
      </c>
      <c r="I1352" s="14"/>
      <c r="J1352" s="1" t="str">
        <f>IF(COUNTA(A1352:F3639)=0,"",IF(#REF!="","BRAK PROTOKOŁU","DODANY"))</f>
        <v/>
      </c>
      <c r="K1352" s="1"/>
      <c r="M1352" s="13" t="str" cm="1">
        <f t="array" ref="M1352">IF($A1352="","",IFERROR(TRANSPOSE(_xlfn._xlws.FILTER(Lokale!$C$3:$C$91,Lokale!$B$3:$B$91=$A1352)),""))</f>
        <v/>
      </c>
      <c r="AJ1352" s="13" t="str" cm="1">
        <f t="array" ref="AJ1352">IF($C1352="","",IFERROR(TRANSPOSE(_xlfn._xlws.FILTER(Listy!$D$2:$D$60,Listy!$C$2:$C$60=$C1352)),""))</f>
        <v/>
      </c>
    </row>
    <row r="1353" spans="7:36" ht="25" customHeight="1" x14ac:dyDescent="0.35">
      <c r="G1353" s="15" t="str">
        <f t="shared" si="78"/>
        <v/>
      </c>
      <c r="H1353" s="12" t="str">
        <f t="shared" ca="1" si="79"/>
        <v/>
      </c>
      <c r="I1353" s="14"/>
      <c r="J1353" s="1" t="str">
        <f>IF(COUNTA(A1353:F3640)=0,"",IF(#REF!="","BRAK PROTOKOŁU","DODANY"))</f>
        <v/>
      </c>
      <c r="K1353" s="1"/>
      <c r="M1353" s="13" t="str" cm="1">
        <f t="array" ref="M1353">IF($A1353="","",IFERROR(TRANSPOSE(_xlfn._xlws.FILTER(Lokale!$C$3:$C$91,Lokale!$B$3:$B$91=$A1353)),""))</f>
        <v/>
      </c>
      <c r="AJ1353" s="13" t="str" cm="1">
        <f t="array" ref="AJ1353">IF($C1353="","",IFERROR(TRANSPOSE(_xlfn._xlws.FILTER(Listy!$D$2:$D$60,Listy!$C$2:$C$60=$C1353)),""))</f>
        <v/>
      </c>
    </row>
    <row r="1354" spans="7:36" ht="25" customHeight="1" x14ac:dyDescent="0.35">
      <c r="G1354" s="15" t="str">
        <f t="shared" si="78"/>
        <v/>
      </c>
      <c r="H1354" s="12" t="str">
        <f t="shared" ca="1" si="79"/>
        <v/>
      </c>
      <c r="I1354" s="14"/>
      <c r="J1354" s="1" t="str">
        <f>IF(COUNTA(A1354:F3641)=0,"",IF(#REF!="","BRAK PROTOKOŁU","DODANY"))</f>
        <v/>
      </c>
      <c r="K1354" s="1"/>
      <c r="M1354" s="13" t="str" cm="1">
        <f t="array" ref="M1354">IF($A1354="","",IFERROR(TRANSPOSE(_xlfn._xlws.FILTER(Lokale!$C$3:$C$91,Lokale!$B$3:$B$91=$A1354)),""))</f>
        <v/>
      </c>
      <c r="AJ1354" s="13" t="str" cm="1">
        <f t="array" ref="AJ1354">IF($C1354="","",IFERROR(TRANSPOSE(_xlfn._xlws.FILTER(Listy!$D$2:$D$60,Listy!$C$2:$C$60=$C1354)),""))</f>
        <v/>
      </c>
    </row>
    <row r="1355" spans="7:36" ht="25" customHeight="1" x14ac:dyDescent="0.35">
      <c r="G1355" s="15" t="str">
        <f t="shared" si="78"/>
        <v/>
      </c>
      <c r="H1355" s="12" t="str">
        <f t="shared" ca="1" si="79"/>
        <v/>
      </c>
      <c r="I1355" s="14"/>
      <c r="J1355" s="1" t="str">
        <f>IF(COUNTA(A1355:F3642)=0,"",IF(#REF!="","BRAK PROTOKOŁU","DODANY"))</f>
        <v/>
      </c>
      <c r="K1355" s="1"/>
      <c r="M1355" s="13" t="str" cm="1">
        <f t="array" ref="M1355">IF($A1355="","",IFERROR(TRANSPOSE(_xlfn._xlws.FILTER(Lokale!$C$3:$C$91,Lokale!$B$3:$B$91=$A1355)),""))</f>
        <v/>
      </c>
      <c r="AJ1355" s="13" t="str" cm="1">
        <f t="array" ref="AJ1355">IF($C1355="","",IFERROR(TRANSPOSE(_xlfn._xlws.FILTER(Listy!$D$2:$D$60,Listy!$C$2:$C$60=$C1355)),""))</f>
        <v/>
      </c>
    </row>
    <row r="1356" spans="7:36" ht="25" customHeight="1" x14ac:dyDescent="0.35">
      <c r="G1356" s="15" t="str">
        <f t="shared" si="78"/>
        <v/>
      </c>
      <c r="H1356" s="12" t="str">
        <f t="shared" ca="1" si="79"/>
        <v/>
      </c>
      <c r="I1356" s="14"/>
      <c r="J1356" s="1" t="str">
        <f>IF(COUNTA(A1356:F3643)=0,"",IF(#REF!="","BRAK PROTOKOŁU","DODANY"))</f>
        <v/>
      </c>
      <c r="K1356" s="1"/>
      <c r="M1356" s="13" t="str" cm="1">
        <f t="array" ref="M1356">IF($A1356="","",IFERROR(TRANSPOSE(_xlfn._xlws.FILTER(Lokale!$C$3:$C$91,Lokale!$B$3:$B$91=$A1356)),""))</f>
        <v/>
      </c>
      <c r="AJ1356" s="13" t="str" cm="1">
        <f t="array" ref="AJ1356">IF($C1356="","",IFERROR(TRANSPOSE(_xlfn._xlws.FILTER(Listy!$D$2:$D$60,Listy!$C$2:$C$60=$C1356)),""))</f>
        <v/>
      </c>
    </row>
    <row r="1357" spans="7:36" ht="25" customHeight="1" x14ac:dyDescent="0.35">
      <c r="G1357" s="15" t="str">
        <f t="shared" si="78"/>
        <v/>
      </c>
      <c r="H1357" s="12" t="str">
        <f t="shared" ca="1" si="79"/>
        <v/>
      </c>
      <c r="I1357" s="14"/>
      <c r="J1357" s="1" t="str">
        <f>IF(COUNTA(A1357:F3644)=0,"",IF(#REF!="","BRAK PROTOKOŁU","DODANY"))</f>
        <v/>
      </c>
      <c r="K1357" s="1"/>
      <c r="M1357" s="13" t="str" cm="1">
        <f t="array" ref="M1357">IF($A1357="","",IFERROR(TRANSPOSE(_xlfn._xlws.FILTER(Lokale!$C$3:$C$91,Lokale!$B$3:$B$91=$A1357)),""))</f>
        <v/>
      </c>
      <c r="AJ1357" s="13" t="str" cm="1">
        <f t="array" ref="AJ1357">IF($C1357="","",IFERROR(TRANSPOSE(_xlfn._xlws.FILTER(Listy!$D$2:$D$60,Listy!$C$2:$C$60=$C1357)),""))</f>
        <v/>
      </c>
    </row>
    <row r="1358" spans="7:36" ht="25" customHeight="1" x14ac:dyDescent="0.35">
      <c r="G1358" s="15" t="str">
        <f t="shared" si="78"/>
        <v/>
      </c>
      <c r="H1358" s="12" t="str">
        <f t="shared" ca="1" si="79"/>
        <v/>
      </c>
      <c r="I1358" s="14"/>
      <c r="J1358" s="1" t="str">
        <f>IF(COUNTA(A1358:F3645)=0,"",IF(#REF!="","BRAK PROTOKOŁU","DODANY"))</f>
        <v/>
      </c>
      <c r="K1358" s="1"/>
      <c r="M1358" s="13" t="str" cm="1">
        <f t="array" ref="M1358">IF($A1358="","",IFERROR(TRANSPOSE(_xlfn._xlws.FILTER(Lokale!$C$3:$C$91,Lokale!$B$3:$B$91=$A1358)),""))</f>
        <v/>
      </c>
      <c r="AJ1358" s="13" t="str" cm="1">
        <f t="array" ref="AJ1358">IF($C1358="","",IFERROR(TRANSPOSE(_xlfn._xlws.FILTER(Listy!$D$2:$D$60,Listy!$C$2:$C$60=$C1358)),""))</f>
        <v/>
      </c>
    </row>
    <row r="1359" spans="7:36" ht="25" customHeight="1" x14ac:dyDescent="0.35">
      <c r="G1359" s="15" t="str">
        <f t="shared" si="78"/>
        <v/>
      </c>
      <c r="H1359" s="12" t="str">
        <f t="shared" ca="1" si="79"/>
        <v/>
      </c>
      <c r="I1359" s="14"/>
      <c r="J1359" s="1" t="str">
        <f>IF(COUNTA(A1359:F3646)=0,"",IF(#REF!="","BRAK PROTOKOŁU","DODANY"))</f>
        <v/>
      </c>
      <c r="K1359" s="1"/>
      <c r="M1359" s="13" t="str" cm="1">
        <f t="array" ref="M1359">IF($A1359="","",IFERROR(TRANSPOSE(_xlfn._xlws.FILTER(Lokale!$C$3:$C$91,Lokale!$B$3:$B$91=$A1359)),""))</f>
        <v/>
      </c>
      <c r="AJ1359" s="13" t="str" cm="1">
        <f t="array" ref="AJ1359">IF($C1359="","",IFERROR(TRANSPOSE(_xlfn._xlws.FILTER(Listy!$D$2:$D$60,Listy!$C$2:$C$60=$C1359)),""))</f>
        <v/>
      </c>
    </row>
    <row r="1360" spans="7:36" ht="25" customHeight="1" x14ac:dyDescent="0.35">
      <c r="G1360" s="15" t="str">
        <f t="shared" si="78"/>
        <v/>
      </c>
      <c r="H1360" s="12" t="str">
        <f t="shared" ca="1" si="79"/>
        <v/>
      </c>
      <c r="I1360" s="14"/>
      <c r="J1360" s="1" t="str">
        <f>IF(COUNTA(A1360:F3647)=0,"",IF(#REF!="","BRAK PROTOKOŁU","DODANY"))</f>
        <v/>
      </c>
      <c r="K1360" s="1"/>
      <c r="M1360" s="13" t="str" cm="1">
        <f t="array" ref="M1360">IF($A1360="","",IFERROR(TRANSPOSE(_xlfn._xlws.FILTER(Lokale!$C$3:$C$91,Lokale!$B$3:$B$91=$A1360)),""))</f>
        <v/>
      </c>
      <c r="AJ1360" s="13" t="str" cm="1">
        <f t="array" ref="AJ1360">IF($C1360="","",IFERROR(TRANSPOSE(_xlfn._xlws.FILTER(Listy!$D$2:$D$60,Listy!$C$2:$C$60=$C1360)),""))</f>
        <v/>
      </c>
    </row>
    <row r="1361" spans="7:36" ht="25" customHeight="1" x14ac:dyDescent="0.35">
      <c r="G1361" s="15" t="str">
        <f t="shared" si="78"/>
        <v/>
      </c>
      <c r="H1361" s="12" t="str">
        <f t="shared" ca="1" si="79"/>
        <v/>
      </c>
      <c r="I1361" s="14"/>
      <c r="J1361" s="1" t="str">
        <f>IF(COUNTA(A1361:F3648)=0,"",IF(#REF!="","BRAK PROTOKOŁU","DODANY"))</f>
        <v/>
      </c>
      <c r="K1361" s="1"/>
      <c r="M1361" s="13" t="str" cm="1">
        <f t="array" ref="M1361">IF($A1361="","",IFERROR(TRANSPOSE(_xlfn._xlws.FILTER(Lokale!$C$3:$C$91,Lokale!$B$3:$B$91=$A1361)),""))</f>
        <v/>
      </c>
      <c r="AJ1361" s="13" t="str" cm="1">
        <f t="array" ref="AJ1361">IF($C1361="","",IFERROR(TRANSPOSE(_xlfn._xlws.FILTER(Listy!$D$2:$D$60,Listy!$C$2:$C$60=$C1361)),""))</f>
        <v/>
      </c>
    </row>
    <row r="1362" spans="7:36" ht="25" customHeight="1" x14ac:dyDescent="0.35">
      <c r="G1362" s="15" t="str">
        <f t="shared" si="78"/>
        <v/>
      </c>
      <c r="H1362" s="12" t="str">
        <f t="shared" ca="1" si="79"/>
        <v/>
      </c>
      <c r="I1362" s="14"/>
      <c r="J1362" s="1" t="str">
        <f>IF(COUNTA(A1362:F3649)=0,"",IF(#REF!="","BRAK PROTOKOŁU","DODANY"))</f>
        <v/>
      </c>
      <c r="K1362" s="1"/>
      <c r="M1362" s="13" t="str" cm="1">
        <f t="array" ref="M1362">IF($A1362="","",IFERROR(TRANSPOSE(_xlfn._xlws.FILTER(Lokale!$C$3:$C$91,Lokale!$B$3:$B$91=$A1362)),""))</f>
        <v/>
      </c>
      <c r="AJ1362" s="13" t="str" cm="1">
        <f t="array" ref="AJ1362">IF($C1362="","",IFERROR(TRANSPOSE(_xlfn._xlws.FILTER(Listy!$D$2:$D$60,Listy!$C$2:$C$60=$C1362)),""))</f>
        <v/>
      </c>
    </row>
    <row r="1363" spans="7:36" ht="25" customHeight="1" x14ac:dyDescent="0.35">
      <c r="G1363" s="15" t="str">
        <f t="shared" si="78"/>
        <v/>
      </c>
      <c r="H1363" s="12" t="str">
        <f t="shared" ca="1" si="79"/>
        <v/>
      </c>
      <c r="I1363" s="14"/>
      <c r="J1363" s="1" t="str">
        <f>IF(COUNTA(A1363:F3650)=0,"",IF(#REF!="","BRAK PROTOKOŁU","DODANY"))</f>
        <v/>
      </c>
      <c r="K1363" s="1"/>
      <c r="M1363" s="13" t="str" cm="1">
        <f t="array" ref="M1363">IF($A1363="","",IFERROR(TRANSPOSE(_xlfn._xlws.FILTER(Lokale!$C$3:$C$91,Lokale!$B$3:$B$91=$A1363)),""))</f>
        <v/>
      </c>
      <c r="AJ1363" s="13" t="str" cm="1">
        <f t="array" ref="AJ1363">IF($C1363="","",IFERROR(TRANSPOSE(_xlfn._xlws.FILTER(Listy!$D$2:$D$60,Listy!$C$2:$C$60=$C1363)),""))</f>
        <v/>
      </c>
    </row>
    <row r="1364" spans="7:36" ht="25" customHeight="1" x14ac:dyDescent="0.35">
      <c r="G1364" s="15" t="str">
        <f t="shared" si="78"/>
        <v/>
      </c>
      <c r="H1364" s="12" t="str">
        <f t="shared" ca="1" si="79"/>
        <v/>
      </c>
      <c r="I1364" s="14"/>
      <c r="J1364" s="1" t="str">
        <f>IF(COUNTA(A1364:F3651)=0,"",IF(#REF!="","BRAK PROTOKOŁU","DODANY"))</f>
        <v/>
      </c>
      <c r="K1364" s="1"/>
      <c r="M1364" s="13" t="str" cm="1">
        <f t="array" ref="M1364">IF($A1364="","",IFERROR(TRANSPOSE(_xlfn._xlws.FILTER(Lokale!$C$3:$C$91,Lokale!$B$3:$B$91=$A1364)),""))</f>
        <v/>
      </c>
      <c r="AJ1364" s="13" t="str" cm="1">
        <f t="array" ref="AJ1364">IF($C1364="","",IFERROR(TRANSPOSE(_xlfn._xlws.FILTER(Listy!$D$2:$D$60,Listy!$C$2:$C$60=$C1364)),""))</f>
        <v/>
      </c>
    </row>
    <row r="1365" spans="7:36" ht="25" customHeight="1" x14ac:dyDescent="0.35">
      <c r="G1365" s="15" t="str">
        <f t="shared" si="78"/>
        <v/>
      </c>
      <c r="H1365" s="12" t="str">
        <f t="shared" ca="1" si="79"/>
        <v/>
      </c>
      <c r="I1365" s="14"/>
      <c r="J1365" s="1" t="str">
        <f>IF(COUNTA(A1365:F3652)=0,"",IF(#REF!="","BRAK PROTOKOŁU","DODANY"))</f>
        <v/>
      </c>
      <c r="K1365" s="1"/>
      <c r="M1365" s="13" t="str" cm="1">
        <f t="array" ref="M1365">IF($A1365="","",IFERROR(TRANSPOSE(_xlfn._xlws.FILTER(Lokale!$C$3:$C$91,Lokale!$B$3:$B$91=$A1365)),""))</f>
        <v/>
      </c>
      <c r="AJ1365" s="13" t="str" cm="1">
        <f t="array" ref="AJ1365">IF($C1365="","",IFERROR(TRANSPOSE(_xlfn._xlws.FILTER(Listy!$D$2:$D$60,Listy!$C$2:$C$60=$C1365)),""))</f>
        <v/>
      </c>
    </row>
    <row r="1366" spans="7:36" ht="25" customHeight="1" x14ac:dyDescent="0.35">
      <c r="G1366" s="15" t="str">
        <f t="shared" si="78"/>
        <v/>
      </c>
      <c r="H1366" s="12" t="str">
        <f t="shared" ca="1" si="79"/>
        <v/>
      </c>
      <c r="I1366" s="14"/>
      <c r="J1366" s="1" t="str">
        <f>IF(COUNTA(A1366:F3653)=0,"",IF(#REF!="","BRAK PROTOKOŁU","DODANY"))</f>
        <v/>
      </c>
      <c r="K1366" s="1"/>
      <c r="M1366" s="13" t="str" cm="1">
        <f t="array" ref="M1366">IF($A1366="","",IFERROR(TRANSPOSE(_xlfn._xlws.FILTER(Lokale!$C$3:$C$91,Lokale!$B$3:$B$91=$A1366)),""))</f>
        <v/>
      </c>
      <c r="AJ1366" s="13" t="str" cm="1">
        <f t="array" ref="AJ1366">IF($C1366="","",IFERROR(TRANSPOSE(_xlfn._xlws.FILTER(Listy!$D$2:$D$60,Listy!$C$2:$C$60=$C1366)),""))</f>
        <v/>
      </c>
    </row>
    <row r="1367" spans="7:36" ht="25" customHeight="1" x14ac:dyDescent="0.35">
      <c r="G1367" s="15" t="str">
        <f t="shared" si="78"/>
        <v/>
      </c>
      <c r="H1367" s="12" t="str">
        <f t="shared" ca="1" si="79"/>
        <v/>
      </c>
      <c r="I1367" s="14"/>
      <c r="J1367" s="1" t="str">
        <f>IF(COUNTA(A1367:F3654)=0,"",IF(#REF!="","BRAK PROTOKOŁU","DODANY"))</f>
        <v/>
      </c>
      <c r="K1367" s="1"/>
      <c r="M1367" s="13" t="str" cm="1">
        <f t="array" ref="M1367">IF($A1367="","",IFERROR(TRANSPOSE(_xlfn._xlws.FILTER(Lokale!$C$3:$C$91,Lokale!$B$3:$B$91=$A1367)),""))</f>
        <v/>
      </c>
      <c r="AJ1367" s="13" t="str" cm="1">
        <f t="array" ref="AJ1367">IF($C1367="","",IFERROR(TRANSPOSE(_xlfn._xlws.FILTER(Listy!$D$2:$D$60,Listy!$C$2:$C$60=$C1367)),""))</f>
        <v/>
      </c>
    </row>
    <row r="1368" spans="7:36" ht="25" customHeight="1" x14ac:dyDescent="0.35">
      <c r="G1368" s="15" t="str">
        <f t="shared" si="78"/>
        <v/>
      </c>
      <c r="H1368" s="12" t="str">
        <f t="shared" ca="1" si="79"/>
        <v/>
      </c>
      <c r="I1368" s="14"/>
      <c r="J1368" s="1" t="str">
        <f>IF(COUNTA(A1368:F3655)=0,"",IF(#REF!="","BRAK PROTOKOŁU","DODANY"))</f>
        <v/>
      </c>
      <c r="K1368" s="1"/>
      <c r="M1368" s="13" t="str" cm="1">
        <f t="array" ref="M1368">IF($A1368="","",IFERROR(TRANSPOSE(_xlfn._xlws.FILTER(Lokale!$C$3:$C$91,Lokale!$B$3:$B$91=$A1368)),""))</f>
        <v/>
      </c>
      <c r="AJ1368" s="13" t="str" cm="1">
        <f t="array" ref="AJ1368">IF($C1368="","",IFERROR(TRANSPOSE(_xlfn._xlws.FILTER(Listy!$D$2:$D$60,Listy!$C$2:$C$60=$C1368)),""))</f>
        <v/>
      </c>
    </row>
    <row r="1369" spans="7:36" ht="25" customHeight="1" x14ac:dyDescent="0.35">
      <c r="G1369" s="15" t="str">
        <f t="shared" si="78"/>
        <v/>
      </c>
      <c r="H1369" s="12" t="str">
        <f t="shared" ca="1" si="79"/>
        <v/>
      </c>
      <c r="I1369" s="14"/>
      <c r="J1369" s="1" t="str">
        <f>IF(COUNTA(A1369:F3656)=0,"",IF(#REF!="","BRAK PROTOKOŁU","DODANY"))</f>
        <v/>
      </c>
      <c r="K1369" s="1"/>
      <c r="M1369" s="13" t="str" cm="1">
        <f t="array" ref="M1369">IF($A1369="","",IFERROR(TRANSPOSE(_xlfn._xlws.FILTER(Lokale!$C$3:$C$91,Lokale!$B$3:$B$91=$A1369)),""))</f>
        <v/>
      </c>
      <c r="AJ1369" s="13" t="str" cm="1">
        <f t="array" ref="AJ1369">IF($C1369="","",IFERROR(TRANSPOSE(_xlfn._xlws.FILTER(Listy!$D$2:$D$60,Listy!$C$2:$C$60=$C1369)),""))</f>
        <v/>
      </c>
    </row>
    <row r="1370" spans="7:36" ht="25" customHeight="1" x14ac:dyDescent="0.35">
      <c r="G1370" s="15" t="str">
        <f t="shared" si="78"/>
        <v/>
      </c>
      <c r="H1370" s="12" t="str">
        <f t="shared" ca="1" si="79"/>
        <v/>
      </c>
      <c r="I1370" s="14"/>
      <c r="J1370" s="1" t="str">
        <f>IF(COUNTA(A1370:F3657)=0,"",IF(#REF!="","BRAK PROTOKOŁU","DODANY"))</f>
        <v/>
      </c>
      <c r="K1370" s="1"/>
      <c r="M1370" s="13" t="str" cm="1">
        <f t="array" ref="M1370">IF($A1370="","",IFERROR(TRANSPOSE(_xlfn._xlws.FILTER(Lokale!$C$3:$C$91,Lokale!$B$3:$B$91=$A1370)),""))</f>
        <v/>
      </c>
      <c r="AJ1370" s="13" t="str" cm="1">
        <f t="array" ref="AJ1370">IF($C1370="","",IFERROR(TRANSPOSE(_xlfn._xlws.FILTER(Listy!$D$2:$D$60,Listy!$C$2:$C$60=$C1370)),""))</f>
        <v/>
      </c>
    </row>
    <row r="1371" spans="7:36" ht="25" customHeight="1" x14ac:dyDescent="0.35">
      <c r="G1371" s="15" t="str">
        <f t="shared" si="78"/>
        <v/>
      </c>
      <c r="H1371" s="12" t="str">
        <f t="shared" ca="1" si="79"/>
        <v/>
      </c>
      <c r="I1371" s="14"/>
      <c r="J1371" s="1" t="str">
        <f>IF(COUNTA(A1371:F3658)=0,"",IF(#REF!="","BRAK PROTOKOŁU","DODANY"))</f>
        <v/>
      </c>
      <c r="K1371" s="1"/>
      <c r="M1371" s="13" t="str" cm="1">
        <f t="array" ref="M1371">IF($A1371="","",IFERROR(TRANSPOSE(_xlfn._xlws.FILTER(Lokale!$C$3:$C$91,Lokale!$B$3:$B$91=$A1371)),""))</f>
        <v/>
      </c>
      <c r="AJ1371" s="13" t="str" cm="1">
        <f t="array" ref="AJ1371">IF($C1371="","",IFERROR(TRANSPOSE(_xlfn._xlws.FILTER(Listy!$D$2:$D$60,Listy!$C$2:$C$60=$C1371)),""))</f>
        <v/>
      </c>
    </row>
    <row r="1372" spans="7:36" ht="9" customHeight="1" x14ac:dyDescent="0.35">
      <c r="G1372" s="15" t="str">
        <f t="shared" si="78"/>
        <v/>
      </c>
      <c r="H1372" s="12" t="str">
        <f t="shared" ca="1" si="79"/>
        <v/>
      </c>
      <c r="I1372" s="14"/>
      <c r="J1372" s="1" t="str">
        <f>IF(COUNTA(A1372:F3659)=0,"",IF(#REF!="","BRAK PROTOKOŁU","DODANY"))</f>
        <v/>
      </c>
      <c r="K1372" s="1"/>
      <c r="M1372" s="13" t="str" cm="1">
        <f t="array" ref="M1372">IF($A1372="","",IFERROR(TRANSPOSE(_xlfn._xlws.FILTER(Lokale!$C$3:$C$91,Lokale!$B$3:$B$91=$A1372)),""))</f>
        <v/>
      </c>
      <c r="AJ1372" s="13" t="str" cm="1">
        <f t="array" ref="AJ1372">IF($C1372="","",IFERROR(TRANSPOSE(_xlfn._xlws.FILTER(Listy!$D$2:$D$60,Listy!$C$2:$C$60=$C1372)),""))</f>
        <v/>
      </c>
    </row>
    <row r="1373" spans="7:36" ht="25" customHeight="1" x14ac:dyDescent="0.35">
      <c r="M1373" s="13" t="str" cm="1">
        <f t="array" ref="M1373">IF($A1373="","",IFERROR(TRANSPOSE(_xlfn._xlws.FILTER(Lokale!$C$3:$C$91,Lokale!$B$3:$B$91=$A1373)),""))</f>
        <v/>
      </c>
      <c r="AJ1373" s="13" t="str" cm="1">
        <f t="array" ref="AJ1373">IF($C1373="","",IFERROR(TRANSPOSE(_xlfn._xlws.FILTER(Listy!$D$2:$D$60,Listy!$C$2:$C$60=$C1373)),""))</f>
        <v/>
      </c>
    </row>
    <row r="1374" spans="7:36" ht="25" customHeight="1" x14ac:dyDescent="0.35">
      <c r="M1374" s="13" t="str" cm="1">
        <f t="array" ref="M1374">IF($A1374="","",IFERROR(TRANSPOSE(_xlfn._xlws.FILTER(Lokale!$C$3:$C$91,Lokale!$B$3:$B$91=$A1374)),""))</f>
        <v/>
      </c>
      <c r="AJ1374" s="13" t="str" cm="1">
        <f t="array" ref="AJ1374">IF($C1374="","",IFERROR(TRANSPOSE(_xlfn._xlws.FILTER(Listy!$D$2:$D$60,Listy!$C$2:$C$60=$C1374)),""))</f>
        <v/>
      </c>
    </row>
    <row r="1375" spans="7:36" ht="25" customHeight="1" x14ac:dyDescent="0.35">
      <c r="M1375" s="13" t="str" cm="1">
        <f t="array" ref="M1375">IF($A1375="","",IFERROR(TRANSPOSE(_xlfn._xlws.FILTER(Lokale!$C$3:$C$91,Lokale!$B$3:$B$91=$A1375)),""))</f>
        <v/>
      </c>
      <c r="AJ1375" s="13" t="str" cm="1">
        <f t="array" ref="AJ1375">IF($C1375="","",IFERROR(TRANSPOSE(_xlfn._xlws.FILTER(Listy!$D$2:$D$60,Listy!$C$2:$C$60=$C1375)),""))</f>
        <v/>
      </c>
    </row>
    <row r="1376" spans="7:36" ht="25" customHeight="1" x14ac:dyDescent="0.35">
      <c r="M1376" s="13" t="str" cm="1">
        <f t="array" ref="M1376">IF($A1376="","",IFERROR(TRANSPOSE(_xlfn._xlws.FILTER(Lokale!$C$3:$C$91,Lokale!$B$3:$B$91=$A1376)),""))</f>
        <v/>
      </c>
      <c r="AJ1376" s="13" t="str" cm="1">
        <f t="array" ref="AJ1376">IF($C1376="","",IFERROR(TRANSPOSE(_xlfn._xlws.FILTER(Listy!$D$2:$D$60,Listy!$C$2:$C$60=$C1376)),""))</f>
        <v/>
      </c>
    </row>
    <row r="1377" spans="13:36" ht="25" customHeight="1" x14ac:dyDescent="0.35">
      <c r="M1377" s="13" t="str" cm="1">
        <f t="array" ref="M1377">IF($A1377="","",IFERROR(TRANSPOSE(_xlfn._xlws.FILTER(Lokale!$C$3:$C$91,Lokale!$B$3:$B$91=$A1377)),""))</f>
        <v/>
      </c>
      <c r="AJ1377" s="13" t="str" cm="1">
        <f t="array" ref="AJ1377">IF($C1377="","",IFERROR(TRANSPOSE(_xlfn._xlws.FILTER(Listy!$D$2:$D$60,Listy!$C$2:$C$60=$C1377)),""))</f>
        <v/>
      </c>
    </row>
    <row r="1378" spans="13:36" ht="25" customHeight="1" x14ac:dyDescent="0.35">
      <c r="M1378" s="13" t="str" cm="1">
        <f t="array" ref="M1378">IF($A1378="","",IFERROR(TRANSPOSE(_xlfn._xlws.FILTER(Lokale!$C$3:$C$91,Lokale!$B$3:$B$91=$A1378)),""))</f>
        <v/>
      </c>
      <c r="AJ1378" s="13" t="str" cm="1">
        <f t="array" ref="AJ1378">IF($C1378="","",IFERROR(TRANSPOSE(_xlfn._xlws.FILTER(Listy!$D$2:$D$60,Listy!$C$2:$C$60=$C1378)),""))</f>
        <v/>
      </c>
    </row>
    <row r="1379" spans="13:36" ht="25" customHeight="1" x14ac:dyDescent="0.35">
      <c r="M1379" s="13" t="str" cm="1">
        <f t="array" ref="M1379">IF($A1379="","",IFERROR(TRANSPOSE(_xlfn._xlws.FILTER(Lokale!$C$3:$C$91,Lokale!$B$3:$B$91=$A1379)),""))</f>
        <v/>
      </c>
      <c r="AJ1379" s="13" t="str" cm="1">
        <f t="array" ref="AJ1379">IF($C1379="","",IFERROR(TRANSPOSE(_xlfn._xlws.FILTER(Listy!$D$2:$D$60,Listy!$C$2:$C$60=$C1379)),""))</f>
        <v/>
      </c>
    </row>
    <row r="1380" spans="13:36" ht="25" customHeight="1" x14ac:dyDescent="0.35">
      <c r="M1380" s="13" t="str" cm="1">
        <f t="array" ref="M1380">IF($A1380="","",IFERROR(TRANSPOSE(_xlfn._xlws.FILTER(Lokale!$C$3:$C$91,Lokale!$B$3:$B$91=$A1380)),""))</f>
        <v/>
      </c>
      <c r="AJ1380" s="13" t="str" cm="1">
        <f t="array" ref="AJ1380">IF($C1380="","",IFERROR(TRANSPOSE(_xlfn._xlws.FILTER(Listy!$D$2:$D$60,Listy!$C$2:$C$60=$C1380)),""))</f>
        <v/>
      </c>
    </row>
    <row r="1381" spans="13:36" ht="25" customHeight="1" x14ac:dyDescent="0.35">
      <c r="M1381" s="13" t="str" cm="1">
        <f t="array" ref="M1381">IF($A1381="","",IFERROR(TRANSPOSE(_xlfn._xlws.FILTER(Lokale!$C$3:$C$91,Lokale!$B$3:$B$91=$A1381)),""))</f>
        <v/>
      </c>
      <c r="AJ1381" s="13" t="str" cm="1">
        <f t="array" ref="AJ1381">IF($C1381="","",IFERROR(TRANSPOSE(_xlfn._xlws.FILTER(Listy!$D$2:$D$60,Listy!$C$2:$C$60=$C1381)),""))</f>
        <v/>
      </c>
    </row>
    <row r="1382" spans="13:36" ht="25" customHeight="1" x14ac:dyDescent="0.35">
      <c r="M1382" s="13" t="str" cm="1">
        <f t="array" ref="M1382">IF($A1382="","",IFERROR(TRANSPOSE(_xlfn._xlws.FILTER(Lokale!$C$3:$C$91,Lokale!$B$3:$B$91=$A1382)),""))</f>
        <v/>
      </c>
      <c r="AJ1382" s="13" t="str" cm="1">
        <f t="array" ref="AJ1382">IF($C1382="","",IFERROR(TRANSPOSE(_xlfn._xlws.FILTER(Listy!$D$2:$D$60,Listy!$C$2:$C$60=$C1382)),""))</f>
        <v/>
      </c>
    </row>
    <row r="1383" spans="13:36" ht="25" customHeight="1" x14ac:dyDescent="0.35">
      <c r="M1383" s="13" t="str" cm="1">
        <f t="array" ref="M1383">IF($A1383="","",IFERROR(TRANSPOSE(_xlfn._xlws.FILTER(Lokale!$C$3:$C$91,Lokale!$B$3:$B$91=$A1383)),""))</f>
        <v/>
      </c>
      <c r="AJ1383" s="13" t="str" cm="1">
        <f t="array" ref="AJ1383">IF($C1383="","",IFERROR(TRANSPOSE(_xlfn._xlws.FILTER(Listy!$D$2:$D$60,Listy!$C$2:$C$60=$C1383)),""))</f>
        <v/>
      </c>
    </row>
    <row r="1384" spans="13:36" ht="25" customHeight="1" x14ac:dyDescent="0.35">
      <c r="M1384" s="13" t="str" cm="1">
        <f t="array" ref="M1384">IF($A1384="","",IFERROR(TRANSPOSE(_xlfn._xlws.FILTER(Lokale!$C$3:$C$91,Lokale!$B$3:$B$91=$A1384)),""))</f>
        <v/>
      </c>
      <c r="AJ1384" s="13" t="str" cm="1">
        <f t="array" ref="AJ1384">IF($C1384="","",IFERROR(TRANSPOSE(_xlfn._xlws.FILTER(Listy!$D$2:$D$60,Listy!$C$2:$C$60=$C1384)),""))</f>
        <v/>
      </c>
    </row>
    <row r="1385" spans="13:36" ht="25" customHeight="1" x14ac:dyDescent="0.35">
      <c r="M1385" s="13" t="str" cm="1">
        <f t="array" ref="M1385">IF($A1385="","",IFERROR(TRANSPOSE(_xlfn._xlws.FILTER(Lokale!$C$3:$C$91,Lokale!$B$3:$B$91=$A1385)),""))</f>
        <v/>
      </c>
      <c r="AJ1385" s="13" t="str" cm="1">
        <f t="array" ref="AJ1385">IF($C1385="","",IFERROR(TRANSPOSE(_xlfn._xlws.FILTER(Listy!$D$2:$D$60,Listy!$C$2:$C$60=$C1385)),""))</f>
        <v/>
      </c>
    </row>
    <row r="1386" spans="13:36" ht="25" customHeight="1" x14ac:dyDescent="0.35">
      <c r="M1386" s="13" t="str" cm="1">
        <f t="array" ref="M1386">IF($A1386="","",IFERROR(TRANSPOSE(_xlfn._xlws.FILTER(Lokale!$C$3:$C$91,Lokale!$B$3:$B$91=$A1386)),""))</f>
        <v/>
      </c>
      <c r="AJ1386" s="13" t="str" cm="1">
        <f t="array" ref="AJ1386">IF($C1386="","",IFERROR(TRANSPOSE(_xlfn._xlws.FILTER(Listy!$D$2:$D$60,Listy!$C$2:$C$60=$C1386)),""))</f>
        <v/>
      </c>
    </row>
    <row r="1387" spans="13:36" ht="25" customHeight="1" x14ac:dyDescent="0.35">
      <c r="M1387" s="13" t="str" cm="1">
        <f t="array" ref="M1387">IF($A1387="","",IFERROR(TRANSPOSE(_xlfn._xlws.FILTER(Lokale!$C$3:$C$91,Lokale!$B$3:$B$91=$A1387)),""))</f>
        <v/>
      </c>
      <c r="AJ1387" s="13" t="str" cm="1">
        <f t="array" ref="AJ1387">IF($C1387="","",IFERROR(TRANSPOSE(_xlfn._xlws.FILTER(Listy!$D$2:$D$60,Listy!$C$2:$C$60=$C1387)),""))</f>
        <v/>
      </c>
    </row>
    <row r="1388" spans="13:36" ht="25" customHeight="1" x14ac:dyDescent="0.35">
      <c r="M1388" s="13" t="str" cm="1">
        <f t="array" ref="M1388">IF($A1388="","",IFERROR(TRANSPOSE(_xlfn._xlws.FILTER(Lokale!$C$3:$C$91,Lokale!$B$3:$B$91=$A1388)),""))</f>
        <v/>
      </c>
      <c r="AJ1388" s="13" t="str" cm="1">
        <f t="array" ref="AJ1388">IF($C1388="","",IFERROR(TRANSPOSE(_xlfn._xlws.FILTER(Listy!$D$2:$D$60,Listy!$C$2:$C$60=$C1388)),""))</f>
        <v/>
      </c>
    </row>
    <row r="1389" spans="13:36" ht="25" customHeight="1" x14ac:dyDescent="0.35">
      <c r="M1389" s="13" t="str" cm="1">
        <f t="array" ref="M1389">IF($A1389="","",IFERROR(TRANSPOSE(_xlfn._xlws.FILTER(Lokale!$C$3:$C$91,Lokale!$B$3:$B$91=$A1389)),""))</f>
        <v/>
      </c>
      <c r="AJ1389" s="13" t="str" cm="1">
        <f t="array" ref="AJ1389">IF($C1389="","",IFERROR(TRANSPOSE(_xlfn._xlws.FILTER(Listy!$D$2:$D$60,Listy!$C$2:$C$60=$C1389)),""))</f>
        <v/>
      </c>
    </row>
    <row r="1390" spans="13:36" ht="25" customHeight="1" x14ac:dyDescent="0.35">
      <c r="M1390" s="13" t="str" cm="1">
        <f t="array" ref="M1390">IF($A1390="","",IFERROR(TRANSPOSE(_xlfn._xlws.FILTER(Lokale!$C$3:$C$91,Lokale!$B$3:$B$91=$A1390)),""))</f>
        <v/>
      </c>
      <c r="AJ1390" s="13" t="str" cm="1">
        <f t="array" ref="AJ1390">IF($C1390="","",IFERROR(TRANSPOSE(_xlfn._xlws.FILTER(Listy!$D$2:$D$60,Listy!$C$2:$C$60=$C1390)),""))</f>
        <v/>
      </c>
    </row>
    <row r="1391" spans="13:36" ht="25" customHeight="1" x14ac:dyDescent="0.35">
      <c r="M1391" s="13" t="str" cm="1">
        <f t="array" ref="M1391">IF($A1391="","",IFERROR(TRANSPOSE(_xlfn._xlws.FILTER(Lokale!$C$3:$C$91,Lokale!$B$3:$B$91=$A1391)),""))</f>
        <v/>
      </c>
      <c r="AJ1391" s="13" t="str" cm="1">
        <f t="array" ref="AJ1391">IF($C1391="","",IFERROR(TRANSPOSE(_xlfn._xlws.FILTER(Listy!$D$2:$D$60,Listy!$C$2:$C$60=$C1391)),""))</f>
        <v/>
      </c>
    </row>
    <row r="1392" spans="13:36" ht="25" customHeight="1" x14ac:dyDescent="0.35">
      <c r="M1392" s="13" t="str" cm="1">
        <f t="array" ref="M1392">IF($A1392="","",IFERROR(TRANSPOSE(_xlfn._xlws.FILTER(Lokale!$C$3:$C$91,Lokale!$B$3:$B$91=$A1392)),""))</f>
        <v/>
      </c>
      <c r="AJ1392" s="13" t="str" cm="1">
        <f t="array" ref="AJ1392">IF($C1392="","",IFERROR(TRANSPOSE(_xlfn._xlws.FILTER(Listy!$D$2:$D$60,Listy!$C$2:$C$60=$C1392)),""))</f>
        <v/>
      </c>
    </row>
    <row r="1393" spans="13:36" ht="25" customHeight="1" x14ac:dyDescent="0.35">
      <c r="M1393" s="13" t="str" cm="1">
        <f t="array" ref="M1393">IF($A1393="","",IFERROR(TRANSPOSE(_xlfn._xlws.FILTER(Lokale!$C$3:$C$91,Lokale!$B$3:$B$91=$A1393)),""))</f>
        <v/>
      </c>
      <c r="AJ1393" s="13" t="str" cm="1">
        <f t="array" ref="AJ1393">IF($C1393="","",IFERROR(TRANSPOSE(_xlfn._xlws.FILTER(Listy!$D$2:$D$60,Listy!$C$2:$C$60=$C1393)),""))</f>
        <v/>
      </c>
    </row>
    <row r="1394" spans="13:36" ht="25" customHeight="1" x14ac:dyDescent="0.35">
      <c r="M1394" s="13" t="str" cm="1">
        <f t="array" ref="M1394">IF($A1394="","",IFERROR(TRANSPOSE(_xlfn._xlws.FILTER(Lokale!$C$3:$C$91,Lokale!$B$3:$B$91=$A1394)),""))</f>
        <v/>
      </c>
      <c r="AJ1394" s="13" t="str" cm="1">
        <f t="array" ref="AJ1394">IF($C1394="","",IFERROR(TRANSPOSE(_xlfn._xlws.FILTER(Listy!$D$2:$D$60,Listy!$C$2:$C$60=$C1394)),""))</f>
        <v/>
      </c>
    </row>
    <row r="1395" spans="13:36" ht="25" customHeight="1" x14ac:dyDescent="0.35">
      <c r="M1395" s="13" t="str" cm="1">
        <f t="array" ref="M1395">IF($A1395="","",IFERROR(TRANSPOSE(_xlfn._xlws.FILTER(Lokale!$C$3:$C$91,Lokale!$B$3:$B$91=$A1395)),""))</f>
        <v/>
      </c>
      <c r="AJ1395" s="13" t="str" cm="1">
        <f t="array" ref="AJ1395">IF($C1395="","",IFERROR(TRANSPOSE(_xlfn._xlws.FILTER(Listy!$D$2:$D$60,Listy!$C$2:$C$60=$C1395)),""))</f>
        <v/>
      </c>
    </row>
    <row r="1396" spans="13:36" ht="25" customHeight="1" x14ac:dyDescent="0.35">
      <c r="M1396" s="13" t="str" cm="1">
        <f t="array" ref="M1396">IF($A1396="","",IFERROR(TRANSPOSE(_xlfn._xlws.FILTER(Lokale!$C$3:$C$91,Lokale!$B$3:$B$91=$A1396)),""))</f>
        <v/>
      </c>
      <c r="AJ1396" s="13" t="str" cm="1">
        <f t="array" ref="AJ1396">IF($C1396="","",IFERROR(TRANSPOSE(_xlfn._xlws.FILTER(Listy!$D$2:$D$60,Listy!$C$2:$C$60=$C1396)),""))</f>
        <v/>
      </c>
    </row>
    <row r="1397" spans="13:36" ht="25" customHeight="1" x14ac:dyDescent="0.35">
      <c r="M1397" s="13" t="str" cm="1">
        <f t="array" ref="M1397">IF($A1397="","",IFERROR(TRANSPOSE(_xlfn._xlws.FILTER(Lokale!$C$3:$C$91,Lokale!$B$3:$B$91=$A1397)),""))</f>
        <v/>
      </c>
      <c r="AJ1397" s="13" t="str" cm="1">
        <f t="array" ref="AJ1397">IF($C1397="","",IFERROR(TRANSPOSE(_xlfn._xlws.FILTER(Listy!$D$2:$D$60,Listy!$C$2:$C$60=$C1397)),""))</f>
        <v/>
      </c>
    </row>
    <row r="1398" spans="13:36" ht="25" customHeight="1" x14ac:dyDescent="0.35">
      <c r="M1398" s="13" t="str" cm="1">
        <f t="array" ref="M1398">IF($A1398="","",IFERROR(TRANSPOSE(_xlfn._xlws.FILTER(Lokale!$C$3:$C$91,Lokale!$B$3:$B$91=$A1398)),""))</f>
        <v/>
      </c>
      <c r="AJ1398" s="13" t="str" cm="1">
        <f t="array" ref="AJ1398">IF($C1398="","",IFERROR(TRANSPOSE(_xlfn._xlws.FILTER(Listy!$D$2:$D$60,Listy!$C$2:$C$60=$C1398)),""))</f>
        <v/>
      </c>
    </row>
    <row r="1399" spans="13:36" ht="25" customHeight="1" x14ac:dyDescent="0.35">
      <c r="M1399" s="13" t="str" cm="1">
        <f t="array" ref="M1399">IF($A1399="","",IFERROR(TRANSPOSE(_xlfn._xlws.FILTER(Lokale!$C$3:$C$91,Lokale!$B$3:$B$91=$A1399)),""))</f>
        <v/>
      </c>
      <c r="AJ1399" s="13" t="str" cm="1">
        <f t="array" ref="AJ1399">IF($C1399="","",IFERROR(TRANSPOSE(_xlfn._xlws.FILTER(Listy!$D$2:$D$60,Listy!$C$2:$C$60=$C1399)),""))</f>
        <v/>
      </c>
    </row>
    <row r="1400" spans="13:36" ht="25" customHeight="1" x14ac:dyDescent="0.35">
      <c r="M1400" s="13" t="str" cm="1">
        <f t="array" ref="M1400">IF($A1400="","",IFERROR(TRANSPOSE(_xlfn._xlws.FILTER(Lokale!$C$3:$C$91,Lokale!$B$3:$B$91=$A1400)),""))</f>
        <v/>
      </c>
      <c r="AJ1400" s="13" t="str" cm="1">
        <f t="array" ref="AJ1400">IF($C1400="","",IFERROR(TRANSPOSE(_xlfn._xlws.FILTER(Listy!$D$2:$D$60,Listy!$C$2:$C$60=$C1400)),""))</f>
        <v/>
      </c>
    </row>
    <row r="1401" spans="13:36" ht="25" customHeight="1" x14ac:dyDescent="0.35">
      <c r="M1401" s="13" t="str" cm="1">
        <f t="array" ref="M1401">IF($A1401="","",IFERROR(TRANSPOSE(_xlfn._xlws.FILTER(Lokale!$C$3:$C$91,Lokale!$B$3:$B$91=$A1401)),""))</f>
        <v/>
      </c>
      <c r="AJ1401" s="13" t="str" cm="1">
        <f t="array" ref="AJ1401">IF($C1401="","",IFERROR(TRANSPOSE(_xlfn._xlws.FILTER(Listy!$D$2:$D$60,Listy!$C$2:$C$60=$C1401)),""))</f>
        <v/>
      </c>
    </row>
    <row r="1402" spans="13:36" ht="25" customHeight="1" x14ac:dyDescent="0.35">
      <c r="M1402" s="13" t="str" cm="1">
        <f t="array" ref="M1402">IF($A1402="","",IFERROR(TRANSPOSE(_xlfn._xlws.FILTER(Lokale!$C$3:$C$91,Lokale!$B$3:$B$91=$A1402)),""))</f>
        <v/>
      </c>
      <c r="AJ1402" s="13" t="str" cm="1">
        <f t="array" ref="AJ1402">IF($C1402="","",IFERROR(TRANSPOSE(_xlfn._xlws.FILTER(Listy!$D$2:$D$60,Listy!$C$2:$C$60=$C1402)),""))</f>
        <v/>
      </c>
    </row>
    <row r="1403" spans="13:36" ht="25" customHeight="1" x14ac:dyDescent="0.35">
      <c r="M1403" s="13" t="str" cm="1">
        <f t="array" ref="M1403">IF($A1403="","",IFERROR(TRANSPOSE(_xlfn._xlws.FILTER(Lokale!$C$3:$C$91,Lokale!$B$3:$B$91=$A1403)),""))</f>
        <v/>
      </c>
      <c r="AJ1403" s="13" t="str" cm="1">
        <f t="array" ref="AJ1403">IF($C1403="","",IFERROR(TRANSPOSE(_xlfn._xlws.FILTER(Listy!$D$2:$D$60,Listy!$C$2:$C$60=$C1403)),""))</f>
        <v/>
      </c>
    </row>
    <row r="1404" spans="13:36" ht="25" customHeight="1" x14ac:dyDescent="0.35">
      <c r="M1404" s="13" t="str" cm="1">
        <f t="array" ref="M1404">IF($A1404="","",IFERROR(TRANSPOSE(_xlfn._xlws.FILTER(Lokale!$C$3:$C$91,Lokale!$B$3:$B$91=$A1404)),""))</f>
        <v/>
      </c>
      <c r="AJ1404" s="13" t="str" cm="1">
        <f t="array" ref="AJ1404">IF($C1404="","",IFERROR(TRANSPOSE(_xlfn._xlws.FILTER(Listy!$D$2:$D$60,Listy!$C$2:$C$60=$C1404)),""))</f>
        <v/>
      </c>
    </row>
    <row r="1405" spans="13:36" ht="25" customHeight="1" x14ac:dyDescent="0.35">
      <c r="M1405" s="13" t="str" cm="1">
        <f t="array" ref="M1405">IF($A1405="","",IFERROR(TRANSPOSE(_xlfn._xlws.FILTER(Lokale!$C$3:$C$91,Lokale!$B$3:$B$91=$A1405)),""))</f>
        <v/>
      </c>
      <c r="AJ1405" s="13" t="str" cm="1">
        <f t="array" ref="AJ1405">IF($C1405="","",IFERROR(TRANSPOSE(_xlfn._xlws.FILTER(Listy!$D$2:$D$60,Listy!$C$2:$C$60=$C1405)),""))</f>
        <v/>
      </c>
    </row>
    <row r="1406" spans="13:36" ht="25" customHeight="1" x14ac:dyDescent="0.35">
      <c r="M1406" s="13" t="str" cm="1">
        <f t="array" ref="M1406">IF($A1406="","",IFERROR(TRANSPOSE(_xlfn._xlws.FILTER(Lokale!$C$3:$C$91,Lokale!$B$3:$B$91=$A1406)),""))</f>
        <v/>
      </c>
      <c r="AJ1406" s="13" t="str" cm="1">
        <f t="array" ref="AJ1406">IF($C1406="","",IFERROR(TRANSPOSE(_xlfn._xlws.FILTER(Listy!$D$2:$D$60,Listy!$C$2:$C$60=$C1406)),""))</f>
        <v/>
      </c>
    </row>
    <row r="1407" spans="13:36" ht="25" customHeight="1" x14ac:dyDescent="0.35">
      <c r="M1407" s="13" t="str" cm="1">
        <f t="array" ref="M1407">IF($A1407="","",IFERROR(TRANSPOSE(_xlfn._xlws.FILTER(Lokale!$C$3:$C$91,Lokale!$B$3:$B$91=$A1407)),""))</f>
        <v/>
      </c>
      <c r="AJ1407" s="13" t="str" cm="1">
        <f t="array" ref="AJ1407">IF($C1407="","",IFERROR(TRANSPOSE(_xlfn._xlws.FILTER(Listy!$D$2:$D$60,Listy!$C$2:$C$60=$C1407)),""))</f>
        <v/>
      </c>
    </row>
    <row r="1408" spans="13:36" ht="25" customHeight="1" x14ac:dyDescent="0.35">
      <c r="M1408" s="13" t="str" cm="1">
        <f t="array" ref="M1408">IF($A1408="","",IFERROR(TRANSPOSE(_xlfn._xlws.FILTER(Lokale!$C$3:$C$91,Lokale!$B$3:$B$91=$A1408)),""))</f>
        <v/>
      </c>
      <c r="AJ1408" s="13" t="str" cm="1">
        <f t="array" ref="AJ1408">IF($C1408="","",IFERROR(TRANSPOSE(_xlfn._xlws.FILTER(Listy!$D$2:$D$60,Listy!$C$2:$C$60=$C1408)),""))</f>
        <v/>
      </c>
    </row>
    <row r="1409" spans="13:36" ht="25" customHeight="1" x14ac:dyDescent="0.35">
      <c r="M1409" s="13" t="str" cm="1">
        <f t="array" ref="M1409">IF($A1409="","",IFERROR(TRANSPOSE(_xlfn._xlws.FILTER(Lokale!$C$3:$C$91,Lokale!$B$3:$B$91=$A1409)),""))</f>
        <v/>
      </c>
      <c r="AJ1409" s="13" t="str" cm="1">
        <f t="array" ref="AJ1409">IF($C1409="","",IFERROR(TRANSPOSE(_xlfn._xlws.FILTER(Listy!$D$2:$D$60,Listy!$C$2:$C$60=$C1409)),""))</f>
        <v/>
      </c>
    </row>
    <row r="1410" spans="13:36" ht="25" customHeight="1" x14ac:dyDescent="0.35">
      <c r="M1410" s="13" t="str" cm="1">
        <f t="array" ref="M1410">IF($A1410="","",IFERROR(TRANSPOSE(_xlfn._xlws.FILTER(Lokale!$C$3:$C$91,Lokale!$B$3:$B$91=$A1410)),""))</f>
        <v/>
      </c>
      <c r="AJ1410" s="13" t="str" cm="1">
        <f t="array" ref="AJ1410">IF($C1410="","",IFERROR(TRANSPOSE(_xlfn._xlws.FILTER(Listy!$D$2:$D$60,Listy!$C$2:$C$60=$C1410)),""))</f>
        <v/>
      </c>
    </row>
    <row r="1411" spans="13:36" ht="25" customHeight="1" x14ac:dyDescent="0.35">
      <c r="M1411" s="13" t="str" cm="1">
        <f t="array" ref="M1411">IF($A1411="","",IFERROR(TRANSPOSE(_xlfn._xlws.FILTER(Lokale!$C$3:$C$91,Lokale!$B$3:$B$91=$A1411)),""))</f>
        <v/>
      </c>
      <c r="AJ1411" s="13" t="str" cm="1">
        <f t="array" ref="AJ1411">IF($C1411="","",IFERROR(TRANSPOSE(_xlfn._xlws.FILTER(Listy!$D$2:$D$60,Listy!$C$2:$C$60=$C1411)),""))</f>
        <v/>
      </c>
    </row>
    <row r="1412" spans="13:36" ht="25" customHeight="1" x14ac:dyDescent="0.35">
      <c r="M1412" s="13" t="str" cm="1">
        <f t="array" ref="M1412">IF($A1412="","",IFERROR(TRANSPOSE(_xlfn._xlws.FILTER(Lokale!$C$3:$C$91,Lokale!$B$3:$B$91=$A1412)),""))</f>
        <v/>
      </c>
      <c r="AJ1412" s="13" t="str" cm="1">
        <f t="array" ref="AJ1412">IF($C1412="","",IFERROR(TRANSPOSE(_xlfn._xlws.FILTER(Listy!$D$2:$D$60,Listy!$C$2:$C$60=$C1412)),""))</f>
        <v/>
      </c>
    </row>
    <row r="1413" spans="13:36" ht="25" customHeight="1" x14ac:dyDescent="0.35">
      <c r="M1413" s="13" t="str" cm="1">
        <f t="array" ref="M1413">IF($A1413="","",IFERROR(TRANSPOSE(_xlfn._xlws.FILTER(Lokale!$C$3:$C$91,Lokale!$B$3:$B$91=$A1413)),""))</f>
        <v/>
      </c>
      <c r="AJ1413" s="13" t="str" cm="1">
        <f t="array" ref="AJ1413">IF($C1413="","",IFERROR(TRANSPOSE(_xlfn._xlws.FILTER(Listy!$D$2:$D$60,Listy!$C$2:$C$60=$C1413)),""))</f>
        <v/>
      </c>
    </row>
    <row r="1414" spans="13:36" ht="25" customHeight="1" x14ac:dyDescent="0.35">
      <c r="M1414" s="13" t="str" cm="1">
        <f t="array" ref="M1414">IF($A1414="","",IFERROR(TRANSPOSE(_xlfn._xlws.FILTER(Lokale!$C$3:$C$91,Lokale!$B$3:$B$91=$A1414)),""))</f>
        <v/>
      </c>
      <c r="AJ1414" s="13" t="str" cm="1">
        <f t="array" ref="AJ1414">IF($C1414="","",IFERROR(TRANSPOSE(_xlfn._xlws.FILTER(Listy!$D$2:$D$60,Listy!$C$2:$C$60=$C1414)),""))</f>
        <v/>
      </c>
    </row>
    <row r="1415" spans="13:36" ht="25" customHeight="1" x14ac:dyDescent="0.35">
      <c r="M1415" s="13" t="str" cm="1">
        <f t="array" ref="M1415">IF($A1415="","",IFERROR(TRANSPOSE(_xlfn._xlws.FILTER(Lokale!$C$3:$C$91,Lokale!$B$3:$B$91=$A1415)),""))</f>
        <v/>
      </c>
      <c r="AJ1415" s="13" t="str" cm="1">
        <f t="array" ref="AJ1415">IF($C1415="","",IFERROR(TRANSPOSE(_xlfn._xlws.FILTER(Listy!$D$2:$D$60,Listy!$C$2:$C$60=$C1415)),""))</f>
        <v/>
      </c>
    </row>
    <row r="1416" spans="13:36" ht="25" customHeight="1" x14ac:dyDescent="0.35">
      <c r="M1416" s="13" t="str" cm="1">
        <f t="array" ref="M1416">IF($A1416="","",IFERROR(TRANSPOSE(_xlfn._xlws.FILTER(Lokale!$C$3:$C$91,Lokale!$B$3:$B$91=$A1416)),""))</f>
        <v/>
      </c>
      <c r="AJ1416" s="13" t="str" cm="1">
        <f t="array" ref="AJ1416">IF($C1416="","",IFERROR(TRANSPOSE(_xlfn._xlws.FILTER(Listy!$D$2:$D$60,Listy!$C$2:$C$60=$C1416)),""))</f>
        <v/>
      </c>
    </row>
    <row r="1417" spans="13:36" ht="25" customHeight="1" x14ac:dyDescent="0.35">
      <c r="M1417" s="13" t="str" cm="1">
        <f t="array" ref="M1417">IF($A1417="","",IFERROR(TRANSPOSE(_xlfn._xlws.FILTER(Lokale!$C$3:$C$91,Lokale!$B$3:$B$91=$A1417)),""))</f>
        <v/>
      </c>
      <c r="AJ1417" s="13" t="str" cm="1">
        <f t="array" ref="AJ1417">IF($C1417="","",IFERROR(TRANSPOSE(_xlfn._xlws.FILTER(Listy!$D$2:$D$60,Listy!$C$2:$C$60=$C1417)),""))</f>
        <v/>
      </c>
    </row>
    <row r="1418" spans="13:36" ht="25" customHeight="1" x14ac:dyDescent="0.35">
      <c r="M1418" s="13" t="str" cm="1">
        <f t="array" ref="M1418">IF($A1418="","",IFERROR(TRANSPOSE(_xlfn._xlws.FILTER(Lokale!$C$3:$C$91,Lokale!$B$3:$B$91=$A1418)),""))</f>
        <v/>
      </c>
      <c r="AJ1418" s="13" t="str" cm="1">
        <f t="array" ref="AJ1418">IF($C1418="","",IFERROR(TRANSPOSE(_xlfn._xlws.FILTER(Listy!$D$2:$D$60,Listy!$C$2:$C$60=$C1418)),""))</f>
        <v/>
      </c>
    </row>
    <row r="1419" spans="13:36" ht="25" customHeight="1" x14ac:dyDescent="0.35">
      <c r="M1419" s="13" t="str" cm="1">
        <f t="array" ref="M1419">IF($A1419="","",IFERROR(TRANSPOSE(_xlfn._xlws.FILTER(Lokale!$C$3:$C$91,Lokale!$B$3:$B$91=$A1419)),""))</f>
        <v/>
      </c>
      <c r="AJ1419" s="13" t="str" cm="1">
        <f t="array" ref="AJ1419">IF($C1419="","",IFERROR(TRANSPOSE(_xlfn._xlws.FILTER(Listy!$D$2:$D$60,Listy!$C$2:$C$60=$C1419)),""))</f>
        <v/>
      </c>
    </row>
    <row r="1420" spans="13:36" ht="25" customHeight="1" x14ac:dyDescent="0.35">
      <c r="M1420" s="13" t="str" cm="1">
        <f t="array" ref="M1420">IF($A1420="","",IFERROR(TRANSPOSE(_xlfn._xlws.FILTER(Lokale!$C$3:$C$91,Lokale!$B$3:$B$91=$A1420)),""))</f>
        <v/>
      </c>
      <c r="AJ1420" s="13" t="str" cm="1">
        <f t="array" ref="AJ1420">IF($C1420="","",IFERROR(TRANSPOSE(_xlfn._xlws.FILTER(Listy!$D$2:$D$60,Listy!$C$2:$C$60=$C1420)),""))</f>
        <v/>
      </c>
    </row>
    <row r="1421" spans="13:36" ht="25" customHeight="1" x14ac:dyDescent="0.35">
      <c r="M1421" s="13" t="str" cm="1">
        <f t="array" ref="M1421">IF($A1421="","",IFERROR(TRANSPOSE(_xlfn._xlws.FILTER(Lokale!$C$3:$C$91,Lokale!$B$3:$B$91=$A1421)),""))</f>
        <v/>
      </c>
      <c r="AJ1421" s="13" t="str" cm="1">
        <f t="array" ref="AJ1421">IF($C1421="","",IFERROR(TRANSPOSE(_xlfn._xlws.FILTER(Listy!$D$2:$D$60,Listy!$C$2:$C$60=$C1421)),""))</f>
        <v/>
      </c>
    </row>
    <row r="1422" spans="13:36" ht="25" customHeight="1" x14ac:dyDescent="0.35">
      <c r="M1422" s="13" t="str" cm="1">
        <f t="array" ref="M1422">IF($A1422="","",IFERROR(TRANSPOSE(_xlfn._xlws.FILTER(Lokale!$C$3:$C$91,Lokale!$B$3:$B$91=$A1422)),""))</f>
        <v/>
      </c>
      <c r="AJ1422" s="13" t="str" cm="1">
        <f t="array" ref="AJ1422">IF($C1422="","",IFERROR(TRANSPOSE(_xlfn._xlws.FILTER(Listy!$D$2:$D$60,Listy!$C$2:$C$60=$C1422)),""))</f>
        <v/>
      </c>
    </row>
    <row r="1423" spans="13:36" ht="25" customHeight="1" x14ac:dyDescent="0.35">
      <c r="M1423" s="13" t="str" cm="1">
        <f t="array" ref="M1423">IF($A1423="","",IFERROR(TRANSPOSE(_xlfn._xlws.FILTER(Lokale!$C$3:$C$91,Lokale!$B$3:$B$91=$A1423)),""))</f>
        <v/>
      </c>
      <c r="AJ1423" s="13" t="str" cm="1">
        <f t="array" ref="AJ1423">IF($C1423="","",IFERROR(TRANSPOSE(_xlfn._xlws.FILTER(Listy!$D$2:$D$60,Listy!$C$2:$C$60=$C1423)),""))</f>
        <v/>
      </c>
    </row>
    <row r="1424" spans="13:36" ht="25" customHeight="1" x14ac:dyDescent="0.35">
      <c r="M1424" s="13" t="str" cm="1">
        <f t="array" ref="M1424">IF($A1424="","",IFERROR(TRANSPOSE(_xlfn._xlws.FILTER(Lokale!$C$3:$C$91,Lokale!$B$3:$B$91=$A1424)),""))</f>
        <v/>
      </c>
      <c r="AJ1424" s="13" t="str" cm="1">
        <f t="array" ref="AJ1424">IF($C1424="","",IFERROR(TRANSPOSE(_xlfn._xlws.FILTER(Listy!$D$2:$D$60,Listy!$C$2:$C$60=$C1424)),""))</f>
        <v/>
      </c>
    </row>
    <row r="1425" spans="13:36" ht="25" customHeight="1" x14ac:dyDescent="0.35">
      <c r="M1425" s="13" t="str" cm="1">
        <f t="array" ref="M1425">IF($A1425="","",IFERROR(TRANSPOSE(_xlfn._xlws.FILTER(Lokale!$C$3:$C$91,Lokale!$B$3:$B$91=$A1425)),""))</f>
        <v/>
      </c>
      <c r="AJ1425" s="13" t="str" cm="1">
        <f t="array" ref="AJ1425">IF($C1425="","",IFERROR(TRANSPOSE(_xlfn._xlws.FILTER(Listy!$D$2:$D$60,Listy!$C$2:$C$60=$C1425)),""))</f>
        <v/>
      </c>
    </row>
    <row r="1426" spans="13:36" ht="25" customHeight="1" x14ac:dyDescent="0.35">
      <c r="M1426" s="13" t="str" cm="1">
        <f t="array" ref="M1426">IF($A1426="","",IFERROR(TRANSPOSE(_xlfn._xlws.FILTER(Lokale!$C$3:$C$91,Lokale!$B$3:$B$91=$A1426)),""))</f>
        <v/>
      </c>
      <c r="AJ1426" s="13" t="str" cm="1">
        <f t="array" ref="AJ1426">IF($C1426="","",IFERROR(TRANSPOSE(_xlfn._xlws.FILTER(Listy!$D$2:$D$60,Listy!$C$2:$C$60=$C1426)),""))</f>
        <v/>
      </c>
    </row>
    <row r="1427" spans="13:36" ht="25" customHeight="1" x14ac:dyDescent="0.35">
      <c r="M1427" s="13" t="str" cm="1">
        <f t="array" ref="M1427">IF($A1427="","",IFERROR(TRANSPOSE(_xlfn._xlws.FILTER(Lokale!$C$3:$C$91,Lokale!$B$3:$B$91=$A1427)),""))</f>
        <v/>
      </c>
      <c r="AJ1427" s="13" t="str" cm="1">
        <f t="array" ref="AJ1427">IF($C1427="","",IFERROR(TRANSPOSE(_xlfn._xlws.FILTER(Listy!$D$2:$D$60,Listy!$C$2:$C$60=$C1427)),""))</f>
        <v/>
      </c>
    </row>
    <row r="1428" spans="13:36" ht="25" customHeight="1" x14ac:dyDescent="0.35">
      <c r="M1428" s="13" t="str" cm="1">
        <f t="array" ref="M1428">IF($A1428="","",IFERROR(TRANSPOSE(_xlfn._xlws.FILTER(Lokale!$C$3:$C$91,Lokale!$B$3:$B$91=$A1428)),""))</f>
        <v/>
      </c>
      <c r="AJ1428" s="13" t="str" cm="1">
        <f t="array" ref="AJ1428">IF($C1428="","",IFERROR(TRANSPOSE(_xlfn._xlws.FILTER(Listy!$D$2:$D$60,Listy!$C$2:$C$60=$C1428)),""))</f>
        <v/>
      </c>
    </row>
    <row r="1429" spans="13:36" ht="25" customHeight="1" x14ac:dyDescent="0.35">
      <c r="M1429" s="13" t="str" cm="1">
        <f t="array" ref="M1429">IF($A1429="","",IFERROR(TRANSPOSE(_xlfn._xlws.FILTER(Lokale!$C$3:$C$91,Lokale!$B$3:$B$91=$A1429)),""))</f>
        <v/>
      </c>
      <c r="AJ1429" s="13" t="str" cm="1">
        <f t="array" ref="AJ1429">IF($C1429="","",IFERROR(TRANSPOSE(_xlfn._xlws.FILTER(Listy!$D$2:$D$60,Listy!$C$2:$C$60=$C1429)),""))</f>
        <v/>
      </c>
    </row>
    <row r="1430" spans="13:36" ht="25" customHeight="1" x14ac:dyDescent="0.35">
      <c r="M1430" s="13" t="str" cm="1">
        <f t="array" ref="M1430">IF($A1430="","",IFERROR(TRANSPOSE(_xlfn._xlws.FILTER(Lokale!$C$3:$C$91,Lokale!$B$3:$B$91=$A1430)),""))</f>
        <v/>
      </c>
      <c r="AJ1430" s="13" t="str" cm="1">
        <f t="array" ref="AJ1430">IF($C1430="","",IFERROR(TRANSPOSE(_xlfn._xlws.FILTER(Listy!$D$2:$D$60,Listy!$C$2:$C$60=$C1430)),""))</f>
        <v/>
      </c>
    </row>
    <row r="1431" spans="13:36" ht="25" customHeight="1" x14ac:dyDescent="0.35">
      <c r="M1431" s="13" t="str" cm="1">
        <f t="array" ref="M1431">IF($A1431="","",IFERROR(TRANSPOSE(_xlfn._xlws.FILTER(Lokale!$C$3:$C$91,Lokale!$B$3:$B$91=$A1431)),""))</f>
        <v/>
      </c>
      <c r="AJ1431" s="13" t="str" cm="1">
        <f t="array" ref="AJ1431">IF($C1431="","",IFERROR(TRANSPOSE(_xlfn._xlws.FILTER(Listy!$D$2:$D$60,Listy!$C$2:$C$60=$C1431)),""))</f>
        <v/>
      </c>
    </row>
    <row r="1432" spans="13:36" ht="25" customHeight="1" x14ac:dyDescent="0.35">
      <c r="M1432" s="13" t="str" cm="1">
        <f t="array" ref="M1432">IF($A1432="","",IFERROR(TRANSPOSE(_xlfn._xlws.FILTER(Lokale!$C$3:$C$91,Lokale!$B$3:$B$91=$A1432)),""))</f>
        <v/>
      </c>
      <c r="AJ1432" s="13" t="str" cm="1">
        <f t="array" ref="AJ1432">IF($C1432="","",IFERROR(TRANSPOSE(_xlfn._xlws.FILTER(Listy!$D$2:$D$60,Listy!$C$2:$C$60=$C1432)),""))</f>
        <v/>
      </c>
    </row>
    <row r="1433" spans="13:36" ht="25" customHeight="1" x14ac:dyDescent="0.35">
      <c r="M1433" s="13" t="str" cm="1">
        <f t="array" ref="M1433">IF($A1433="","",IFERROR(TRANSPOSE(_xlfn._xlws.FILTER(Lokale!$C$3:$C$91,Lokale!$B$3:$B$91=$A1433)),""))</f>
        <v/>
      </c>
      <c r="AJ1433" s="13" t="str" cm="1">
        <f t="array" ref="AJ1433">IF($C1433="","",IFERROR(TRANSPOSE(_xlfn._xlws.FILTER(Listy!$D$2:$D$60,Listy!$C$2:$C$60=$C1433)),""))</f>
        <v/>
      </c>
    </row>
    <row r="1434" spans="13:36" ht="25" customHeight="1" x14ac:dyDescent="0.35">
      <c r="M1434" s="13" t="str" cm="1">
        <f t="array" ref="M1434">IF($A1434="","",IFERROR(TRANSPOSE(_xlfn._xlws.FILTER(Lokale!$C$3:$C$91,Lokale!$B$3:$B$91=$A1434)),""))</f>
        <v/>
      </c>
      <c r="AJ1434" s="13" t="str" cm="1">
        <f t="array" ref="AJ1434">IF($C1434="","",IFERROR(TRANSPOSE(_xlfn._xlws.FILTER(Listy!$D$2:$D$60,Listy!$C$2:$C$60=$C1434)),""))</f>
        <v/>
      </c>
    </row>
    <row r="1435" spans="13:36" ht="25" customHeight="1" x14ac:dyDescent="0.35">
      <c r="M1435" s="13" t="str" cm="1">
        <f t="array" ref="M1435">IF($A1435="","",IFERROR(TRANSPOSE(_xlfn._xlws.FILTER(Lokale!$C$3:$C$91,Lokale!$B$3:$B$91=$A1435)),""))</f>
        <v/>
      </c>
      <c r="AJ1435" s="13" t="str" cm="1">
        <f t="array" ref="AJ1435">IF($C1435="","",IFERROR(TRANSPOSE(_xlfn._xlws.FILTER(Listy!$D$2:$D$60,Listy!$C$2:$C$60=$C1435)),""))</f>
        <v/>
      </c>
    </row>
    <row r="1436" spans="13:36" ht="25" customHeight="1" x14ac:dyDescent="0.35">
      <c r="M1436" s="13" t="str" cm="1">
        <f t="array" ref="M1436">IF($A1436="","",IFERROR(TRANSPOSE(_xlfn._xlws.FILTER(Lokale!$C$3:$C$91,Lokale!$B$3:$B$91=$A1436)),""))</f>
        <v/>
      </c>
      <c r="AJ1436" s="13" t="str" cm="1">
        <f t="array" ref="AJ1436">IF($C1436="","",IFERROR(TRANSPOSE(_xlfn._xlws.FILTER(Listy!$D$2:$D$60,Listy!$C$2:$C$60=$C1436)),""))</f>
        <v/>
      </c>
    </row>
    <row r="1437" spans="13:36" ht="25" customHeight="1" x14ac:dyDescent="0.35">
      <c r="M1437" s="13" t="str" cm="1">
        <f t="array" ref="M1437">IF($A1437="","",IFERROR(TRANSPOSE(_xlfn._xlws.FILTER(Lokale!$C$3:$C$91,Lokale!$B$3:$B$91=$A1437)),""))</f>
        <v/>
      </c>
      <c r="AJ1437" s="13" t="str" cm="1">
        <f t="array" ref="AJ1437">IF($C1437="","",IFERROR(TRANSPOSE(_xlfn._xlws.FILTER(Listy!$D$2:$D$60,Listy!$C$2:$C$60=$C1437)),""))</f>
        <v/>
      </c>
    </row>
    <row r="1438" spans="13:36" ht="25" customHeight="1" x14ac:dyDescent="0.35">
      <c r="M1438" s="13" t="str" cm="1">
        <f t="array" ref="M1438">IF($A1438="","",IFERROR(TRANSPOSE(_xlfn._xlws.FILTER(Lokale!$C$3:$C$91,Lokale!$B$3:$B$91=$A1438)),""))</f>
        <v/>
      </c>
      <c r="AJ1438" s="13" t="str" cm="1">
        <f t="array" ref="AJ1438">IF($C1438="","",IFERROR(TRANSPOSE(_xlfn._xlws.FILTER(Listy!$D$2:$D$60,Listy!$C$2:$C$60=$C1438)),""))</f>
        <v/>
      </c>
    </row>
    <row r="1439" spans="13:36" ht="25" customHeight="1" x14ac:dyDescent="0.35">
      <c r="M1439" s="13" t="str" cm="1">
        <f t="array" ref="M1439">IF($A1439="","",IFERROR(TRANSPOSE(_xlfn._xlws.FILTER(Lokale!$C$3:$C$91,Lokale!$B$3:$B$91=$A1439)),""))</f>
        <v/>
      </c>
      <c r="AJ1439" s="13" t="str" cm="1">
        <f t="array" ref="AJ1439">IF($C1439="","",IFERROR(TRANSPOSE(_xlfn._xlws.FILTER(Listy!$D$2:$D$60,Listy!$C$2:$C$60=$C1439)),""))</f>
        <v/>
      </c>
    </row>
    <row r="1440" spans="13:36" ht="25" customHeight="1" x14ac:dyDescent="0.35">
      <c r="M1440" s="13" t="str" cm="1">
        <f t="array" ref="M1440">IF($A1440="","",IFERROR(TRANSPOSE(_xlfn._xlws.FILTER(Lokale!$C$3:$C$91,Lokale!$B$3:$B$91=$A1440)),""))</f>
        <v/>
      </c>
      <c r="AJ1440" s="13" t="str" cm="1">
        <f t="array" ref="AJ1440">IF($C1440="","",IFERROR(TRANSPOSE(_xlfn._xlws.FILTER(Listy!$D$2:$D$60,Listy!$C$2:$C$60=$C1440)),""))</f>
        <v/>
      </c>
    </row>
    <row r="1441" spans="13:36" ht="25" customHeight="1" x14ac:dyDescent="0.35">
      <c r="M1441" s="13" t="str" cm="1">
        <f t="array" ref="M1441">IF($A1441="","",IFERROR(TRANSPOSE(_xlfn._xlws.FILTER(Lokale!$C$3:$C$91,Lokale!$B$3:$B$91=$A1441)),""))</f>
        <v/>
      </c>
      <c r="AJ1441" s="13" t="str" cm="1">
        <f t="array" ref="AJ1441">IF($C1441="","",IFERROR(TRANSPOSE(_xlfn._xlws.FILTER(Listy!$D$2:$D$60,Listy!$C$2:$C$60=$C1441)),""))</f>
        <v/>
      </c>
    </row>
    <row r="1442" spans="13:36" ht="25" customHeight="1" x14ac:dyDescent="0.35">
      <c r="M1442" s="13" t="str" cm="1">
        <f t="array" ref="M1442">IF($A1442="","",IFERROR(TRANSPOSE(_xlfn._xlws.FILTER(Lokale!$C$3:$C$91,Lokale!$B$3:$B$91=$A1442)),""))</f>
        <v/>
      </c>
      <c r="AJ1442" s="13" t="str" cm="1">
        <f t="array" ref="AJ1442">IF($C1442="","",IFERROR(TRANSPOSE(_xlfn._xlws.FILTER(Listy!$D$2:$D$60,Listy!$C$2:$C$60=$C1442)),""))</f>
        <v/>
      </c>
    </row>
    <row r="1443" spans="13:36" ht="25" customHeight="1" x14ac:dyDescent="0.35">
      <c r="M1443" s="13" t="str" cm="1">
        <f t="array" ref="M1443">IF($A1443="","",IFERROR(TRANSPOSE(_xlfn._xlws.FILTER(Lokale!$C$3:$C$91,Lokale!$B$3:$B$91=$A1443)),""))</f>
        <v/>
      </c>
      <c r="AJ1443" s="13" t="str" cm="1">
        <f t="array" ref="AJ1443">IF($C1443="","",IFERROR(TRANSPOSE(_xlfn._xlws.FILTER(Listy!$D$2:$D$60,Listy!$C$2:$C$60=$C1443)),""))</f>
        <v/>
      </c>
    </row>
    <row r="1444" spans="13:36" ht="25" customHeight="1" x14ac:dyDescent="0.35">
      <c r="M1444" s="13" t="str" cm="1">
        <f t="array" ref="M1444">IF($A1444="","",IFERROR(TRANSPOSE(_xlfn._xlws.FILTER(Lokale!$C$3:$C$91,Lokale!$B$3:$B$91=$A1444)),""))</f>
        <v/>
      </c>
      <c r="AJ1444" s="13" t="str" cm="1">
        <f t="array" ref="AJ1444">IF($C1444="","",IFERROR(TRANSPOSE(_xlfn._xlws.FILTER(Listy!$D$2:$D$60,Listy!$C$2:$C$60=$C1444)),""))</f>
        <v/>
      </c>
    </row>
    <row r="1445" spans="13:36" ht="25" customHeight="1" x14ac:dyDescent="0.35">
      <c r="M1445" s="13" t="str" cm="1">
        <f t="array" ref="M1445">IF($A1445="","",IFERROR(TRANSPOSE(_xlfn._xlws.FILTER(Lokale!$C$3:$C$91,Lokale!$B$3:$B$91=$A1445)),""))</f>
        <v/>
      </c>
      <c r="AJ1445" s="13" t="str" cm="1">
        <f t="array" ref="AJ1445">IF($C1445="","",IFERROR(TRANSPOSE(_xlfn._xlws.FILTER(Listy!$D$2:$D$60,Listy!$C$2:$C$60=$C1445)),""))</f>
        <v/>
      </c>
    </row>
    <row r="1446" spans="13:36" ht="25" customHeight="1" x14ac:dyDescent="0.35">
      <c r="M1446" s="13" t="str" cm="1">
        <f t="array" ref="M1446">IF($A1446="","",IFERROR(TRANSPOSE(_xlfn._xlws.FILTER(Lokale!$C$3:$C$91,Lokale!$B$3:$B$91=$A1446)),""))</f>
        <v/>
      </c>
      <c r="AJ1446" s="13" t="str" cm="1">
        <f t="array" ref="AJ1446">IF($C1446="","",IFERROR(TRANSPOSE(_xlfn._xlws.FILTER(Listy!$D$2:$D$60,Listy!$C$2:$C$60=$C1446)),""))</f>
        <v/>
      </c>
    </row>
    <row r="1447" spans="13:36" ht="25" customHeight="1" x14ac:dyDescent="0.35">
      <c r="M1447" s="13" t="str" cm="1">
        <f t="array" ref="M1447">IF($A1447="","",IFERROR(TRANSPOSE(_xlfn._xlws.FILTER(Lokale!$C$3:$C$91,Lokale!$B$3:$B$91=$A1447)),""))</f>
        <v/>
      </c>
      <c r="AJ1447" s="13" t="str" cm="1">
        <f t="array" ref="AJ1447">IF($C1447="","",IFERROR(TRANSPOSE(_xlfn._xlws.FILTER(Listy!$D$2:$D$60,Listy!$C$2:$C$60=$C1447)),""))</f>
        <v/>
      </c>
    </row>
    <row r="1448" spans="13:36" ht="25" customHeight="1" x14ac:dyDescent="0.35">
      <c r="M1448" s="13" t="str" cm="1">
        <f t="array" ref="M1448">IF($A1448="","",IFERROR(TRANSPOSE(_xlfn._xlws.FILTER(Lokale!$C$3:$C$91,Lokale!$B$3:$B$91=$A1448)),""))</f>
        <v/>
      </c>
      <c r="AJ1448" s="13" t="str" cm="1">
        <f t="array" ref="AJ1448">IF($C1448="","",IFERROR(TRANSPOSE(_xlfn._xlws.FILTER(Listy!$D$2:$D$60,Listy!$C$2:$C$60=$C1448)),""))</f>
        <v/>
      </c>
    </row>
    <row r="1449" spans="13:36" ht="25" customHeight="1" x14ac:dyDescent="0.35">
      <c r="M1449" s="13" t="str" cm="1">
        <f t="array" ref="M1449">IF($A1449="","",IFERROR(TRANSPOSE(_xlfn._xlws.FILTER(Lokale!$C$3:$C$91,Lokale!$B$3:$B$91=$A1449)),""))</f>
        <v/>
      </c>
      <c r="AJ1449" s="13" t="str" cm="1">
        <f t="array" ref="AJ1449">IF($C1449="","",IFERROR(TRANSPOSE(_xlfn._xlws.FILTER(Listy!$D$2:$D$60,Listy!$C$2:$C$60=$C1449)),""))</f>
        <v/>
      </c>
    </row>
    <row r="1450" spans="13:36" ht="25" customHeight="1" x14ac:dyDescent="0.35">
      <c r="M1450" s="13" t="str" cm="1">
        <f t="array" ref="M1450">IF($A1450="","",IFERROR(TRANSPOSE(_xlfn._xlws.FILTER(Lokale!$C$3:$C$91,Lokale!$B$3:$B$91=$A1450)),""))</f>
        <v/>
      </c>
      <c r="AJ1450" s="13" t="str" cm="1">
        <f t="array" ref="AJ1450">IF($C1450="","",IFERROR(TRANSPOSE(_xlfn._xlws.FILTER(Listy!$D$2:$D$60,Listy!$C$2:$C$60=$C1450)),""))</f>
        <v/>
      </c>
    </row>
    <row r="1451" spans="13:36" ht="25" customHeight="1" x14ac:dyDescent="0.35">
      <c r="M1451" s="13" t="str" cm="1">
        <f t="array" ref="M1451">IF($A1451="","",IFERROR(TRANSPOSE(_xlfn._xlws.FILTER(Lokale!$C$3:$C$91,Lokale!$B$3:$B$91=$A1451)),""))</f>
        <v/>
      </c>
      <c r="AJ1451" s="13" t="str" cm="1">
        <f t="array" ref="AJ1451">IF($C1451="","",IFERROR(TRANSPOSE(_xlfn._xlws.FILTER(Listy!$D$2:$D$60,Listy!$C$2:$C$60=$C1451)),""))</f>
        <v/>
      </c>
    </row>
    <row r="1452" spans="13:36" ht="25" customHeight="1" x14ac:dyDescent="0.35">
      <c r="M1452" s="13" t="str" cm="1">
        <f t="array" ref="M1452">IF($A1452="","",IFERROR(TRANSPOSE(_xlfn._xlws.FILTER(Lokale!$C$3:$C$91,Lokale!$B$3:$B$91=$A1452)),""))</f>
        <v/>
      </c>
      <c r="AJ1452" s="13" t="str" cm="1">
        <f t="array" ref="AJ1452">IF($C1452="","",IFERROR(TRANSPOSE(_xlfn._xlws.FILTER(Listy!$D$2:$D$60,Listy!$C$2:$C$60=$C1452)),""))</f>
        <v/>
      </c>
    </row>
    <row r="1453" spans="13:36" ht="25" customHeight="1" x14ac:dyDescent="0.35">
      <c r="M1453" s="13" t="str" cm="1">
        <f t="array" ref="M1453">IF($A1453="","",IFERROR(TRANSPOSE(_xlfn._xlws.FILTER(Lokale!$C$3:$C$91,Lokale!$B$3:$B$91=$A1453)),""))</f>
        <v/>
      </c>
      <c r="AJ1453" s="13" t="str" cm="1">
        <f t="array" ref="AJ1453">IF($C1453="","",IFERROR(TRANSPOSE(_xlfn._xlws.FILTER(Listy!$D$2:$D$60,Listy!$C$2:$C$60=$C1453)),""))</f>
        <v/>
      </c>
    </row>
    <row r="1454" spans="13:36" ht="25" customHeight="1" x14ac:dyDescent="0.35">
      <c r="M1454" s="13" t="str" cm="1">
        <f t="array" ref="M1454">IF($A1454="","",IFERROR(TRANSPOSE(_xlfn._xlws.FILTER(Lokale!$C$3:$C$91,Lokale!$B$3:$B$91=$A1454)),""))</f>
        <v/>
      </c>
      <c r="AJ1454" s="13" t="str" cm="1">
        <f t="array" ref="AJ1454">IF($C1454="","",IFERROR(TRANSPOSE(_xlfn._xlws.FILTER(Listy!$D$2:$D$60,Listy!$C$2:$C$60=$C1454)),""))</f>
        <v/>
      </c>
    </row>
    <row r="1455" spans="13:36" ht="25" customHeight="1" x14ac:dyDescent="0.35">
      <c r="M1455" s="13" t="str" cm="1">
        <f t="array" ref="M1455">IF($A1455="","",IFERROR(TRANSPOSE(_xlfn._xlws.FILTER(Lokale!$C$3:$C$91,Lokale!$B$3:$B$91=$A1455)),""))</f>
        <v/>
      </c>
      <c r="AJ1455" s="13" t="str" cm="1">
        <f t="array" ref="AJ1455">IF($C1455="","",IFERROR(TRANSPOSE(_xlfn._xlws.FILTER(Listy!$D$2:$D$60,Listy!$C$2:$C$60=$C1455)),""))</f>
        <v/>
      </c>
    </row>
    <row r="1456" spans="13:36" ht="25" customHeight="1" x14ac:dyDescent="0.35">
      <c r="M1456" s="13" t="str" cm="1">
        <f t="array" ref="M1456">IF($A1456="","",IFERROR(TRANSPOSE(_xlfn._xlws.FILTER(Lokale!$C$3:$C$91,Lokale!$B$3:$B$91=$A1456)),""))</f>
        <v/>
      </c>
      <c r="AJ1456" s="13" t="str" cm="1">
        <f t="array" ref="AJ1456">IF($C1456="","",IFERROR(TRANSPOSE(_xlfn._xlws.FILTER(Listy!$D$2:$D$60,Listy!$C$2:$C$60=$C1456)),""))</f>
        <v/>
      </c>
    </row>
    <row r="1457" spans="13:36" ht="25" customHeight="1" x14ac:dyDescent="0.35">
      <c r="M1457" s="13" t="str" cm="1">
        <f t="array" ref="M1457">IF($A1457="","",IFERROR(TRANSPOSE(_xlfn._xlws.FILTER(Lokale!$C$3:$C$91,Lokale!$B$3:$B$91=$A1457)),""))</f>
        <v/>
      </c>
      <c r="AJ1457" s="13" t="str" cm="1">
        <f t="array" ref="AJ1457">IF($C1457="","",IFERROR(TRANSPOSE(_xlfn._xlws.FILTER(Listy!$D$2:$D$60,Listy!$C$2:$C$60=$C1457)),""))</f>
        <v/>
      </c>
    </row>
    <row r="1458" spans="13:36" ht="25" customHeight="1" x14ac:dyDescent="0.35">
      <c r="M1458" s="13" t="str" cm="1">
        <f t="array" ref="M1458">IF($A1458="","",IFERROR(TRANSPOSE(_xlfn._xlws.FILTER(Lokale!$C$3:$C$91,Lokale!$B$3:$B$91=$A1458)),""))</f>
        <v/>
      </c>
      <c r="AJ1458" s="13" t="str" cm="1">
        <f t="array" ref="AJ1458">IF($C1458="","",IFERROR(TRANSPOSE(_xlfn._xlws.FILTER(Listy!$D$2:$D$60,Listy!$C$2:$C$60=$C1458)),""))</f>
        <v/>
      </c>
    </row>
    <row r="1459" spans="13:36" ht="25" customHeight="1" x14ac:dyDescent="0.35">
      <c r="M1459" s="13" t="str" cm="1">
        <f t="array" ref="M1459">IF($A1459="","",IFERROR(TRANSPOSE(_xlfn._xlws.FILTER(Lokale!$C$3:$C$91,Lokale!$B$3:$B$91=$A1459)),""))</f>
        <v/>
      </c>
      <c r="AJ1459" s="13" t="str" cm="1">
        <f t="array" ref="AJ1459">IF($C1459="","",IFERROR(TRANSPOSE(_xlfn._xlws.FILTER(Listy!$D$2:$D$60,Listy!$C$2:$C$60=$C1459)),""))</f>
        <v/>
      </c>
    </row>
    <row r="1460" spans="13:36" ht="25" customHeight="1" x14ac:dyDescent="0.35">
      <c r="M1460" s="13" t="str" cm="1">
        <f t="array" ref="M1460">IF($A1460="","",IFERROR(TRANSPOSE(_xlfn._xlws.FILTER(Lokale!$C$3:$C$91,Lokale!$B$3:$B$91=$A1460)),""))</f>
        <v/>
      </c>
      <c r="AJ1460" s="13" t="str" cm="1">
        <f t="array" ref="AJ1460">IF($C1460="","",IFERROR(TRANSPOSE(_xlfn._xlws.FILTER(Listy!$D$2:$D$60,Listy!$C$2:$C$60=$C1460)),""))</f>
        <v/>
      </c>
    </row>
    <row r="1461" spans="13:36" ht="25" customHeight="1" x14ac:dyDescent="0.35">
      <c r="M1461" s="13" t="str" cm="1">
        <f t="array" ref="M1461">IF($A1461="","",IFERROR(TRANSPOSE(_xlfn._xlws.FILTER(Lokale!$C$3:$C$91,Lokale!$B$3:$B$91=$A1461)),""))</f>
        <v/>
      </c>
      <c r="AJ1461" s="13" t="str" cm="1">
        <f t="array" ref="AJ1461">IF($C1461="","",IFERROR(TRANSPOSE(_xlfn._xlws.FILTER(Listy!$D$2:$D$60,Listy!$C$2:$C$60=$C1461)),""))</f>
        <v/>
      </c>
    </row>
    <row r="1462" spans="13:36" ht="25" customHeight="1" x14ac:dyDescent="0.35">
      <c r="M1462" s="13" t="str" cm="1">
        <f t="array" ref="M1462">IF($A1462="","",IFERROR(TRANSPOSE(_xlfn._xlws.FILTER(Lokale!$C$3:$C$91,Lokale!$B$3:$B$91=$A1462)),""))</f>
        <v/>
      </c>
      <c r="AJ1462" s="13" t="str" cm="1">
        <f t="array" ref="AJ1462">IF($C1462="","",IFERROR(TRANSPOSE(_xlfn._xlws.FILTER(Listy!$D$2:$D$60,Listy!$C$2:$C$60=$C1462)),""))</f>
        <v/>
      </c>
    </row>
    <row r="1463" spans="13:36" ht="25" customHeight="1" x14ac:dyDescent="0.35">
      <c r="M1463" s="13" t="str" cm="1">
        <f t="array" ref="M1463">IF($A1463="","",IFERROR(TRANSPOSE(_xlfn._xlws.FILTER(Lokale!$C$3:$C$91,Lokale!$B$3:$B$91=$A1463)),""))</f>
        <v/>
      </c>
      <c r="AJ1463" s="13" t="str" cm="1">
        <f t="array" ref="AJ1463">IF($C1463="","",IFERROR(TRANSPOSE(_xlfn._xlws.FILTER(Listy!$D$2:$D$60,Listy!$C$2:$C$60=$C1463)),""))</f>
        <v/>
      </c>
    </row>
    <row r="1464" spans="13:36" ht="25" customHeight="1" x14ac:dyDescent="0.35">
      <c r="M1464" s="13" t="str" cm="1">
        <f t="array" ref="M1464">IF($A1464="","",IFERROR(TRANSPOSE(_xlfn._xlws.FILTER(Lokale!$C$3:$C$91,Lokale!$B$3:$B$91=$A1464)),""))</f>
        <v/>
      </c>
      <c r="AJ1464" s="13" t="str" cm="1">
        <f t="array" ref="AJ1464">IF($C1464="","",IFERROR(TRANSPOSE(_xlfn._xlws.FILTER(Listy!$D$2:$D$60,Listy!$C$2:$C$60=$C1464)),""))</f>
        <v/>
      </c>
    </row>
    <row r="1465" spans="13:36" ht="25" customHeight="1" x14ac:dyDescent="0.35">
      <c r="M1465" s="13" t="str" cm="1">
        <f t="array" ref="M1465">IF($A1465="","",IFERROR(TRANSPOSE(_xlfn._xlws.FILTER(Lokale!$C$3:$C$91,Lokale!$B$3:$B$91=$A1465)),""))</f>
        <v/>
      </c>
      <c r="AJ1465" s="13" t="str" cm="1">
        <f t="array" ref="AJ1465">IF($C1465="","",IFERROR(TRANSPOSE(_xlfn._xlws.FILTER(Listy!$D$2:$D$60,Listy!$C$2:$C$60=$C1465)),""))</f>
        <v/>
      </c>
    </row>
    <row r="1466" spans="13:36" ht="25" customHeight="1" x14ac:dyDescent="0.35">
      <c r="M1466" s="13" t="str" cm="1">
        <f t="array" ref="M1466">IF($A1466="","",IFERROR(TRANSPOSE(_xlfn._xlws.FILTER(Lokale!$C$3:$C$91,Lokale!$B$3:$B$91=$A1466)),""))</f>
        <v/>
      </c>
      <c r="AJ1466" s="13" t="str" cm="1">
        <f t="array" ref="AJ1466">IF($C1466="","",IFERROR(TRANSPOSE(_xlfn._xlws.FILTER(Listy!$D$2:$D$60,Listy!$C$2:$C$60=$C1466)),""))</f>
        <v/>
      </c>
    </row>
    <row r="1467" spans="13:36" ht="25" customHeight="1" x14ac:dyDescent="0.35">
      <c r="M1467" s="13" t="str" cm="1">
        <f t="array" ref="M1467">IF($A1467="","",IFERROR(TRANSPOSE(_xlfn._xlws.FILTER(Lokale!$C$3:$C$91,Lokale!$B$3:$B$91=$A1467)),""))</f>
        <v/>
      </c>
      <c r="AJ1467" s="13" t="str" cm="1">
        <f t="array" ref="AJ1467">IF($C1467="","",IFERROR(TRANSPOSE(_xlfn._xlws.FILTER(Listy!$D$2:$D$60,Listy!$C$2:$C$60=$C1467)),""))</f>
        <v/>
      </c>
    </row>
    <row r="1468" spans="13:36" ht="25" customHeight="1" x14ac:dyDescent="0.35">
      <c r="M1468" s="13" t="str" cm="1">
        <f t="array" ref="M1468">IF($A1468="","",IFERROR(TRANSPOSE(_xlfn._xlws.FILTER(Lokale!$C$3:$C$91,Lokale!$B$3:$B$91=$A1468)),""))</f>
        <v/>
      </c>
      <c r="AJ1468" s="13" t="str" cm="1">
        <f t="array" ref="AJ1468">IF($C1468="","",IFERROR(TRANSPOSE(_xlfn._xlws.FILTER(Listy!$D$2:$D$60,Listy!$C$2:$C$60=$C1468)),""))</f>
        <v/>
      </c>
    </row>
    <row r="1469" spans="13:36" ht="25" customHeight="1" x14ac:dyDescent="0.35">
      <c r="M1469" s="13" t="str" cm="1">
        <f t="array" ref="M1469">IF($A1469="","",IFERROR(TRANSPOSE(_xlfn._xlws.FILTER(Lokale!$C$3:$C$91,Lokale!$B$3:$B$91=$A1469)),""))</f>
        <v/>
      </c>
      <c r="AJ1469" s="13" t="str" cm="1">
        <f t="array" ref="AJ1469">IF($C1469="","",IFERROR(TRANSPOSE(_xlfn._xlws.FILTER(Listy!$D$2:$D$60,Listy!$C$2:$C$60=$C1469)),""))</f>
        <v/>
      </c>
    </row>
    <row r="1470" spans="13:36" ht="25" customHeight="1" x14ac:dyDescent="0.35">
      <c r="M1470" s="13" t="str" cm="1">
        <f t="array" ref="M1470">IF($A1470="","",IFERROR(TRANSPOSE(_xlfn._xlws.FILTER(Lokale!$C$3:$C$91,Lokale!$B$3:$B$91=$A1470)),""))</f>
        <v/>
      </c>
      <c r="AJ1470" s="13" t="str" cm="1">
        <f t="array" ref="AJ1470">IF($C1470="","",IFERROR(TRANSPOSE(_xlfn._xlws.FILTER(Listy!$D$2:$D$60,Listy!$C$2:$C$60=$C1470)),""))</f>
        <v/>
      </c>
    </row>
    <row r="1471" spans="13:36" ht="25" customHeight="1" x14ac:dyDescent="0.35">
      <c r="M1471" s="13" t="str" cm="1">
        <f t="array" ref="M1471">IF($A1471="","",IFERROR(TRANSPOSE(_xlfn._xlws.FILTER(Lokale!$C$3:$C$91,Lokale!$B$3:$B$91=$A1471)),""))</f>
        <v/>
      </c>
      <c r="AJ1471" s="13" t="str" cm="1">
        <f t="array" ref="AJ1471">IF($C1471="","",IFERROR(TRANSPOSE(_xlfn._xlws.FILTER(Listy!$D$2:$D$60,Listy!$C$2:$C$60=$C1471)),""))</f>
        <v/>
      </c>
    </row>
    <row r="1472" spans="13:36" ht="25" customHeight="1" x14ac:dyDescent="0.35">
      <c r="M1472" s="13" t="str" cm="1">
        <f t="array" ref="M1472">IF($A1472="","",IFERROR(TRANSPOSE(_xlfn._xlws.FILTER(Lokale!$C$3:$C$91,Lokale!$B$3:$B$91=$A1472)),""))</f>
        <v/>
      </c>
      <c r="AJ1472" s="13" t="str" cm="1">
        <f t="array" ref="AJ1472">IF($C1472="","",IFERROR(TRANSPOSE(_xlfn._xlws.FILTER(Listy!$D$2:$D$60,Listy!$C$2:$C$60=$C1472)),""))</f>
        <v/>
      </c>
    </row>
    <row r="1473" spans="13:36" ht="25" customHeight="1" x14ac:dyDescent="0.35">
      <c r="M1473" s="13" t="str" cm="1">
        <f t="array" ref="M1473">IF($A1473="","",IFERROR(TRANSPOSE(_xlfn._xlws.FILTER(Lokale!$C$3:$C$91,Lokale!$B$3:$B$91=$A1473)),""))</f>
        <v/>
      </c>
      <c r="AJ1473" s="13" t="str" cm="1">
        <f t="array" ref="AJ1473">IF($C1473="","",IFERROR(TRANSPOSE(_xlfn._xlws.FILTER(Listy!$D$2:$D$60,Listy!$C$2:$C$60=$C1473)),""))</f>
        <v/>
      </c>
    </row>
    <row r="1474" spans="13:36" ht="25" customHeight="1" x14ac:dyDescent="0.35">
      <c r="M1474" s="13" t="str" cm="1">
        <f t="array" ref="M1474">IF($A1474="","",IFERROR(TRANSPOSE(_xlfn._xlws.FILTER(Lokale!$C$3:$C$91,Lokale!$B$3:$B$91=$A1474)),""))</f>
        <v/>
      </c>
      <c r="AJ1474" s="13" t="str" cm="1">
        <f t="array" ref="AJ1474">IF($C1474="","",IFERROR(TRANSPOSE(_xlfn._xlws.FILTER(Listy!$D$2:$D$60,Listy!$C$2:$C$60=$C1474)),""))</f>
        <v/>
      </c>
    </row>
    <row r="1475" spans="13:36" ht="25" customHeight="1" x14ac:dyDescent="0.35">
      <c r="M1475" s="13" t="str" cm="1">
        <f t="array" ref="M1475">IF($A1475="","",IFERROR(TRANSPOSE(_xlfn._xlws.FILTER(Lokale!$C$3:$C$91,Lokale!$B$3:$B$91=$A1475)),""))</f>
        <v/>
      </c>
      <c r="AJ1475" s="13" t="str" cm="1">
        <f t="array" ref="AJ1475">IF($C1475="","",IFERROR(TRANSPOSE(_xlfn._xlws.FILTER(Listy!$D$2:$D$60,Listy!$C$2:$C$60=$C1475)),""))</f>
        <v/>
      </c>
    </row>
    <row r="1476" spans="13:36" ht="25" customHeight="1" x14ac:dyDescent="0.35">
      <c r="M1476" s="13" t="str" cm="1">
        <f t="array" ref="M1476">IF($A1476="","",IFERROR(TRANSPOSE(_xlfn._xlws.FILTER(Lokale!$C$3:$C$91,Lokale!$B$3:$B$91=$A1476)),""))</f>
        <v/>
      </c>
      <c r="AJ1476" s="13" t="str" cm="1">
        <f t="array" ref="AJ1476">IF($C1476="","",IFERROR(TRANSPOSE(_xlfn._xlws.FILTER(Listy!$D$2:$D$60,Listy!$C$2:$C$60=$C1476)),""))</f>
        <v/>
      </c>
    </row>
    <row r="1477" spans="13:36" ht="25" customHeight="1" x14ac:dyDescent="0.35">
      <c r="M1477" s="13" t="str" cm="1">
        <f t="array" ref="M1477">IF($A1477="","",IFERROR(TRANSPOSE(_xlfn._xlws.FILTER(Lokale!$C$3:$C$91,Lokale!$B$3:$B$91=$A1477)),""))</f>
        <v/>
      </c>
      <c r="AJ1477" s="13" t="str" cm="1">
        <f t="array" ref="AJ1477">IF($C1477="","",IFERROR(TRANSPOSE(_xlfn._xlws.FILTER(Listy!$D$2:$D$60,Listy!$C$2:$C$60=$C1477)),""))</f>
        <v/>
      </c>
    </row>
    <row r="1478" spans="13:36" ht="25" customHeight="1" x14ac:dyDescent="0.35">
      <c r="M1478" s="13" t="str" cm="1">
        <f t="array" ref="M1478">IF($A1478="","",IFERROR(TRANSPOSE(_xlfn._xlws.FILTER(Lokale!$C$3:$C$91,Lokale!$B$3:$B$91=$A1478)),""))</f>
        <v/>
      </c>
      <c r="AJ1478" s="13" t="str" cm="1">
        <f t="array" ref="AJ1478">IF($C1478="","",IFERROR(TRANSPOSE(_xlfn._xlws.FILTER(Listy!$D$2:$D$60,Listy!$C$2:$C$60=$C1478)),""))</f>
        <v/>
      </c>
    </row>
    <row r="1479" spans="13:36" ht="25" customHeight="1" x14ac:dyDescent="0.35">
      <c r="M1479" s="13" t="str" cm="1">
        <f t="array" ref="M1479">IF($A1479="","",IFERROR(TRANSPOSE(_xlfn._xlws.FILTER(Lokale!$C$3:$C$91,Lokale!$B$3:$B$91=$A1479)),""))</f>
        <v/>
      </c>
      <c r="AJ1479" s="13" t="str" cm="1">
        <f t="array" ref="AJ1479">IF($C1479="","",IFERROR(TRANSPOSE(_xlfn._xlws.FILTER(Listy!$D$2:$D$60,Listy!$C$2:$C$60=$C1479)),""))</f>
        <v/>
      </c>
    </row>
    <row r="1480" spans="13:36" ht="25" customHeight="1" x14ac:dyDescent="0.35">
      <c r="M1480" s="13" t="str" cm="1">
        <f t="array" ref="M1480">IF($A1480="","",IFERROR(TRANSPOSE(_xlfn._xlws.FILTER(Lokale!$C$3:$C$91,Lokale!$B$3:$B$91=$A1480)),""))</f>
        <v/>
      </c>
      <c r="AJ1480" s="13" t="str" cm="1">
        <f t="array" ref="AJ1480">IF($C1480="","",IFERROR(TRANSPOSE(_xlfn._xlws.FILTER(Listy!$D$2:$D$60,Listy!$C$2:$C$60=$C1480)),""))</f>
        <v/>
      </c>
    </row>
    <row r="1481" spans="13:36" ht="25" customHeight="1" x14ac:dyDescent="0.35">
      <c r="M1481" s="13" t="str" cm="1">
        <f t="array" ref="M1481">IF($A1481="","",IFERROR(TRANSPOSE(_xlfn._xlws.FILTER(Lokale!$C$3:$C$91,Lokale!$B$3:$B$91=$A1481)),""))</f>
        <v/>
      </c>
      <c r="AJ1481" s="13" t="str" cm="1">
        <f t="array" ref="AJ1481">IF($C1481="","",IFERROR(TRANSPOSE(_xlfn._xlws.FILTER(Listy!$D$2:$D$60,Listy!$C$2:$C$60=$C1481)),""))</f>
        <v/>
      </c>
    </row>
    <row r="1482" spans="13:36" ht="25" customHeight="1" x14ac:dyDescent="0.35">
      <c r="M1482" s="13" t="str" cm="1">
        <f t="array" ref="M1482">IF($A1482="","",IFERROR(TRANSPOSE(_xlfn._xlws.FILTER(Lokale!$C$3:$C$91,Lokale!$B$3:$B$91=$A1482)),""))</f>
        <v/>
      </c>
      <c r="AJ1482" s="13" t="str" cm="1">
        <f t="array" ref="AJ1482">IF($C1482="","",IFERROR(TRANSPOSE(_xlfn._xlws.FILTER(Listy!$D$2:$D$60,Listy!$C$2:$C$60=$C1482)),""))</f>
        <v/>
      </c>
    </row>
    <row r="1483" spans="13:36" ht="25" customHeight="1" x14ac:dyDescent="0.35">
      <c r="M1483" s="13" t="str" cm="1">
        <f t="array" ref="M1483">IF($A1483="","",IFERROR(TRANSPOSE(_xlfn._xlws.FILTER(Lokale!$C$3:$C$91,Lokale!$B$3:$B$91=$A1483)),""))</f>
        <v/>
      </c>
      <c r="AJ1483" s="13" t="str" cm="1">
        <f t="array" ref="AJ1483">IF($C1483="","",IFERROR(TRANSPOSE(_xlfn._xlws.FILTER(Listy!$D$2:$D$60,Listy!$C$2:$C$60=$C1483)),""))</f>
        <v/>
      </c>
    </row>
    <row r="1484" spans="13:36" ht="25" customHeight="1" x14ac:dyDescent="0.35">
      <c r="M1484" s="13" t="str" cm="1">
        <f t="array" ref="M1484">IF($A1484="","",IFERROR(TRANSPOSE(_xlfn._xlws.FILTER(Lokale!$C$3:$C$91,Lokale!$B$3:$B$91=$A1484)),""))</f>
        <v/>
      </c>
      <c r="AJ1484" s="13" t="str" cm="1">
        <f t="array" ref="AJ1484">IF($C1484="","",IFERROR(TRANSPOSE(_xlfn._xlws.FILTER(Listy!$D$2:$D$60,Listy!$C$2:$C$60=$C1484)),""))</f>
        <v/>
      </c>
    </row>
    <row r="1485" spans="13:36" ht="25" customHeight="1" x14ac:dyDescent="0.35">
      <c r="M1485" s="13" t="str" cm="1">
        <f t="array" ref="M1485">IF($A1485="","",IFERROR(TRANSPOSE(_xlfn._xlws.FILTER(Lokale!$C$3:$C$91,Lokale!$B$3:$B$91=$A1485)),""))</f>
        <v/>
      </c>
      <c r="AJ1485" s="13" t="str" cm="1">
        <f t="array" ref="AJ1485">IF($C1485="","",IFERROR(TRANSPOSE(_xlfn._xlws.FILTER(Listy!$D$2:$D$60,Listy!$C$2:$C$60=$C1485)),""))</f>
        <v/>
      </c>
    </row>
    <row r="1486" spans="13:36" ht="25" customHeight="1" x14ac:dyDescent="0.35">
      <c r="M1486" s="13" t="str" cm="1">
        <f t="array" ref="M1486">IF($A1486="","",IFERROR(TRANSPOSE(_xlfn._xlws.FILTER(Lokale!$C$3:$C$91,Lokale!$B$3:$B$91=$A1486)),""))</f>
        <v/>
      </c>
      <c r="AJ1486" s="13" t="str" cm="1">
        <f t="array" ref="AJ1486">IF($C1486="","",IFERROR(TRANSPOSE(_xlfn._xlws.FILTER(Listy!$D$2:$D$60,Listy!$C$2:$C$60=$C1486)),""))</f>
        <v/>
      </c>
    </row>
    <row r="1487" spans="13:36" ht="25" customHeight="1" x14ac:dyDescent="0.35">
      <c r="M1487" s="13" t="str" cm="1">
        <f t="array" ref="M1487">IF($A1487="","",IFERROR(TRANSPOSE(_xlfn._xlws.FILTER(Lokale!$C$3:$C$91,Lokale!$B$3:$B$91=$A1487)),""))</f>
        <v/>
      </c>
      <c r="AJ1487" s="13" t="str" cm="1">
        <f t="array" ref="AJ1487">IF($C1487="","",IFERROR(TRANSPOSE(_xlfn._xlws.FILTER(Listy!$D$2:$D$60,Listy!$C$2:$C$60=$C1487)),""))</f>
        <v/>
      </c>
    </row>
    <row r="1488" spans="13:36" ht="25" customHeight="1" x14ac:dyDescent="0.35">
      <c r="M1488" s="13" t="str" cm="1">
        <f t="array" ref="M1488">IF($A1488="","",IFERROR(TRANSPOSE(_xlfn._xlws.FILTER(Lokale!$C$3:$C$91,Lokale!$B$3:$B$91=$A1488)),""))</f>
        <v/>
      </c>
      <c r="AJ1488" s="13" t="str" cm="1">
        <f t="array" ref="AJ1488">IF($C1488="","",IFERROR(TRANSPOSE(_xlfn._xlws.FILTER(Listy!$D$2:$D$60,Listy!$C$2:$C$60=$C1488)),""))</f>
        <v/>
      </c>
    </row>
    <row r="1489" spans="13:36" ht="25" customHeight="1" x14ac:dyDescent="0.35">
      <c r="M1489" s="13" t="str" cm="1">
        <f t="array" ref="M1489">IF($A1489="","",IFERROR(TRANSPOSE(_xlfn._xlws.FILTER(Lokale!$C$3:$C$91,Lokale!$B$3:$B$91=$A1489)),""))</f>
        <v/>
      </c>
      <c r="AJ1489" s="13" t="str" cm="1">
        <f t="array" ref="AJ1489">IF($C1489="","",IFERROR(TRANSPOSE(_xlfn._xlws.FILTER(Listy!$D$2:$D$60,Listy!$C$2:$C$60=$C1489)),""))</f>
        <v/>
      </c>
    </row>
    <row r="1490" spans="13:36" ht="25" customHeight="1" x14ac:dyDescent="0.35">
      <c r="M1490" s="13" t="str" cm="1">
        <f t="array" ref="M1490">IF($A1490="","",IFERROR(TRANSPOSE(_xlfn._xlws.FILTER(Lokale!$C$3:$C$91,Lokale!$B$3:$B$91=$A1490)),""))</f>
        <v/>
      </c>
      <c r="AJ1490" s="13" t="str" cm="1">
        <f t="array" ref="AJ1490">IF($C1490="","",IFERROR(TRANSPOSE(_xlfn._xlws.FILTER(Listy!$D$2:$D$60,Listy!$C$2:$C$60=$C1490)),""))</f>
        <v/>
      </c>
    </row>
    <row r="1491" spans="13:36" ht="25" customHeight="1" x14ac:dyDescent="0.35">
      <c r="M1491" s="13" t="str" cm="1">
        <f t="array" ref="M1491">IF($A1491="","",IFERROR(TRANSPOSE(_xlfn._xlws.FILTER(Lokale!$C$3:$C$91,Lokale!$B$3:$B$91=$A1491)),""))</f>
        <v/>
      </c>
      <c r="AJ1491" s="13" t="str" cm="1">
        <f t="array" ref="AJ1491">IF($C1491="","",IFERROR(TRANSPOSE(_xlfn._xlws.FILTER(Listy!$D$2:$D$60,Listy!$C$2:$C$60=$C1491)),""))</f>
        <v/>
      </c>
    </row>
    <row r="1492" spans="13:36" ht="25" customHeight="1" x14ac:dyDescent="0.35">
      <c r="M1492" s="13" t="str" cm="1">
        <f t="array" ref="M1492">IF($A1492="","",IFERROR(TRANSPOSE(_xlfn._xlws.FILTER(Lokale!$C$3:$C$91,Lokale!$B$3:$B$91=$A1492)),""))</f>
        <v/>
      </c>
      <c r="AJ1492" s="13" t="str" cm="1">
        <f t="array" ref="AJ1492">IF($C1492="","",IFERROR(TRANSPOSE(_xlfn._xlws.FILTER(Listy!$D$2:$D$60,Listy!$C$2:$C$60=$C1492)),""))</f>
        <v/>
      </c>
    </row>
    <row r="1493" spans="13:36" ht="25" customHeight="1" x14ac:dyDescent="0.35">
      <c r="M1493" s="13" t="str" cm="1">
        <f t="array" ref="M1493">IF($A1493="","",IFERROR(TRANSPOSE(_xlfn._xlws.FILTER(Lokale!$C$3:$C$91,Lokale!$B$3:$B$91=$A1493)),""))</f>
        <v/>
      </c>
      <c r="AJ1493" s="13" t="str" cm="1">
        <f t="array" ref="AJ1493">IF($C1493="","",IFERROR(TRANSPOSE(_xlfn._xlws.FILTER(Listy!$D$2:$D$60,Listy!$C$2:$C$60=$C1493)),""))</f>
        <v/>
      </c>
    </row>
    <row r="1494" spans="13:36" ht="25" customHeight="1" x14ac:dyDescent="0.35">
      <c r="M1494" s="13" t="str" cm="1">
        <f t="array" ref="M1494">IF($A1494="","",IFERROR(TRANSPOSE(_xlfn._xlws.FILTER(Lokale!$C$3:$C$91,Lokale!$B$3:$B$91=$A1494)),""))</f>
        <v/>
      </c>
      <c r="AJ1494" s="13" t="str" cm="1">
        <f t="array" ref="AJ1494">IF($C1494="","",IFERROR(TRANSPOSE(_xlfn._xlws.FILTER(Listy!$D$2:$D$60,Listy!$C$2:$C$60=$C1494)),""))</f>
        <v/>
      </c>
    </row>
    <row r="1495" spans="13:36" ht="25" customHeight="1" x14ac:dyDescent="0.35">
      <c r="M1495" s="13" t="str" cm="1">
        <f t="array" ref="M1495">IF($A1495="","",IFERROR(TRANSPOSE(_xlfn._xlws.FILTER(Lokale!$C$3:$C$91,Lokale!$B$3:$B$91=$A1495)),""))</f>
        <v/>
      </c>
      <c r="AJ1495" s="13" t="str" cm="1">
        <f t="array" ref="AJ1495">IF($C1495="","",IFERROR(TRANSPOSE(_xlfn._xlws.FILTER(Listy!$D$2:$D$60,Listy!$C$2:$C$60=$C1495)),""))</f>
        <v/>
      </c>
    </row>
    <row r="1496" spans="13:36" ht="25" customHeight="1" x14ac:dyDescent="0.35">
      <c r="M1496" s="13" t="str" cm="1">
        <f t="array" ref="M1496">IF($A1496="","",IFERROR(TRANSPOSE(_xlfn._xlws.FILTER(Lokale!$C$3:$C$91,Lokale!$B$3:$B$91=$A1496)),""))</f>
        <v/>
      </c>
      <c r="AJ1496" s="13" t="str" cm="1">
        <f t="array" ref="AJ1496">IF($C1496="","",IFERROR(TRANSPOSE(_xlfn._xlws.FILTER(Listy!$D$2:$D$60,Listy!$C$2:$C$60=$C1496)),""))</f>
        <v/>
      </c>
    </row>
    <row r="1497" spans="13:36" ht="25" customHeight="1" x14ac:dyDescent="0.35">
      <c r="M1497" s="13" t="str" cm="1">
        <f t="array" ref="M1497">IF($A1497="","",IFERROR(TRANSPOSE(_xlfn._xlws.FILTER(Lokale!$C$3:$C$91,Lokale!$B$3:$B$91=$A1497)),""))</f>
        <v/>
      </c>
      <c r="AJ1497" s="13" t="str" cm="1">
        <f t="array" ref="AJ1497">IF($C1497="","",IFERROR(TRANSPOSE(_xlfn._xlws.FILTER(Listy!$D$2:$D$60,Listy!$C$2:$C$60=$C1497)),""))</f>
        <v/>
      </c>
    </row>
    <row r="1498" spans="13:36" ht="25" customHeight="1" x14ac:dyDescent="0.35">
      <c r="M1498" s="13" t="str" cm="1">
        <f t="array" ref="M1498">IF($A1498="","",IFERROR(TRANSPOSE(_xlfn._xlws.FILTER(Lokale!$C$3:$C$91,Lokale!$B$3:$B$91=$A1498)),""))</f>
        <v/>
      </c>
      <c r="AJ1498" s="13" t="str" cm="1">
        <f t="array" ref="AJ1498">IF($C1498="","",IFERROR(TRANSPOSE(_xlfn._xlws.FILTER(Listy!$D$2:$D$60,Listy!$C$2:$C$60=$C1498)),""))</f>
        <v/>
      </c>
    </row>
    <row r="1499" spans="13:36" ht="25" customHeight="1" x14ac:dyDescent="0.35">
      <c r="M1499" s="13" t="str" cm="1">
        <f t="array" ref="M1499">IF($A1499="","",IFERROR(TRANSPOSE(_xlfn._xlws.FILTER(Lokale!$C$3:$C$91,Lokale!$B$3:$B$91=$A1499)),""))</f>
        <v/>
      </c>
      <c r="AJ1499" s="13" t="str" cm="1">
        <f t="array" ref="AJ1499">IF($C1499="","",IFERROR(TRANSPOSE(_xlfn._xlws.FILTER(Listy!$D$2:$D$60,Listy!$C$2:$C$60=$C1499)),""))</f>
        <v/>
      </c>
    </row>
    <row r="1500" spans="13:36" ht="25" customHeight="1" x14ac:dyDescent="0.35">
      <c r="M1500" s="13" t="str" cm="1">
        <f t="array" ref="M1500">IF($A1500="","",IFERROR(TRANSPOSE(_xlfn._xlws.FILTER(Lokale!$C$3:$C$91,Lokale!$B$3:$B$91=$A1500)),""))</f>
        <v/>
      </c>
      <c r="AJ1500" s="13" t="str" cm="1">
        <f t="array" ref="AJ1500">IF($C1500="","",IFERROR(TRANSPOSE(_xlfn._xlws.FILTER(Listy!$D$2:$D$60,Listy!$C$2:$C$60=$C1500)),""))</f>
        <v/>
      </c>
    </row>
    <row r="1501" spans="13:36" ht="25" customHeight="1" x14ac:dyDescent="0.35">
      <c r="M1501" s="13" t="str" cm="1">
        <f t="array" ref="M1501">IF($A1501="","",IFERROR(TRANSPOSE(_xlfn._xlws.FILTER(Lokale!$C$3:$C$91,Lokale!$B$3:$B$91=$A1501)),""))</f>
        <v/>
      </c>
      <c r="AJ1501" s="13" t="str" cm="1">
        <f t="array" ref="AJ1501">IF($C1501="","",IFERROR(TRANSPOSE(_xlfn._xlws.FILTER(Listy!$D$2:$D$60,Listy!$C$2:$C$60=$C1501)),""))</f>
        <v/>
      </c>
    </row>
    <row r="1502" spans="13:36" ht="25" customHeight="1" x14ac:dyDescent="0.35">
      <c r="M1502" s="13" t="str" cm="1">
        <f t="array" ref="M1502">IF($A1502="","",IFERROR(TRANSPOSE(_xlfn._xlws.FILTER(Lokale!$C$3:$C$91,Lokale!$B$3:$B$91=$A1502)),""))</f>
        <v/>
      </c>
      <c r="AJ1502" s="13" t="str" cm="1">
        <f t="array" ref="AJ1502">IF($C1502="","",IFERROR(TRANSPOSE(_xlfn._xlws.FILTER(Listy!$D$2:$D$60,Listy!$C$2:$C$60=$C1502)),""))</f>
        <v/>
      </c>
    </row>
    <row r="1503" spans="13:36" ht="25" customHeight="1" x14ac:dyDescent="0.35">
      <c r="M1503" s="13" t="str" cm="1">
        <f t="array" ref="M1503">IF($A1503="","",IFERROR(TRANSPOSE(_xlfn._xlws.FILTER(Lokale!$C$3:$C$91,Lokale!$B$3:$B$91=$A1503)),""))</f>
        <v/>
      </c>
      <c r="AJ1503" s="13" t="str" cm="1">
        <f t="array" ref="AJ1503">IF($C1503="","",IFERROR(TRANSPOSE(_xlfn._xlws.FILTER(Listy!$D$2:$D$60,Listy!$C$2:$C$60=$C1503)),""))</f>
        <v/>
      </c>
    </row>
    <row r="1504" spans="13:36" ht="25" customHeight="1" x14ac:dyDescent="0.35">
      <c r="M1504" s="13" t="str" cm="1">
        <f t="array" ref="M1504">IF($A1504="","",IFERROR(TRANSPOSE(_xlfn._xlws.FILTER(Lokale!$C$3:$C$91,Lokale!$B$3:$B$91=$A1504)),""))</f>
        <v/>
      </c>
      <c r="AJ1504" s="13" t="str" cm="1">
        <f t="array" ref="AJ1504">IF($C1504="","",IFERROR(TRANSPOSE(_xlfn._xlws.FILTER(Listy!$D$2:$D$60,Listy!$C$2:$C$60=$C1504)),""))</f>
        <v/>
      </c>
    </row>
    <row r="1505" spans="13:36" ht="25" customHeight="1" x14ac:dyDescent="0.35">
      <c r="M1505" s="13" t="str" cm="1">
        <f t="array" ref="M1505">IF($A1505="","",IFERROR(TRANSPOSE(_xlfn._xlws.FILTER(Lokale!$C$3:$C$91,Lokale!$B$3:$B$91=$A1505)),""))</f>
        <v/>
      </c>
      <c r="AJ1505" s="13" t="str" cm="1">
        <f t="array" ref="AJ1505">IF($C1505="","",IFERROR(TRANSPOSE(_xlfn._xlws.FILTER(Listy!$D$2:$D$60,Listy!$C$2:$C$60=$C1505)),""))</f>
        <v/>
      </c>
    </row>
    <row r="1506" spans="13:36" ht="25" customHeight="1" x14ac:dyDescent="0.35">
      <c r="M1506" s="13" t="str" cm="1">
        <f t="array" ref="M1506">IF($A1506="","",IFERROR(TRANSPOSE(_xlfn._xlws.FILTER(Lokale!$C$3:$C$91,Lokale!$B$3:$B$91=$A1506)),""))</f>
        <v/>
      </c>
      <c r="AJ1506" s="13" t="str" cm="1">
        <f t="array" ref="AJ1506">IF($C1506="","",IFERROR(TRANSPOSE(_xlfn._xlws.FILTER(Listy!$D$2:$D$60,Listy!$C$2:$C$60=$C1506)),""))</f>
        <v/>
      </c>
    </row>
    <row r="1507" spans="13:36" ht="25" customHeight="1" x14ac:dyDescent="0.35">
      <c r="M1507" s="13" t="str" cm="1">
        <f t="array" ref="M1507">IF($A1507="","",IFERROR(TRANSPOSE(_xlfn._xlws.FILTER(Lokale!$C$3:$C$91,Lokale!$B$3:$B$91=$A1507)),""))</f>
        <v/>
      </c>
      <c r="AJ1507" s="13" t="str" cm="1">
        <f t="array" ref="AJ1507">IF($C1507="","",IFERROR(TRANSPOSE(_xlfn._xlws.FILTER(Listy!$D$2:$D$60,Listy!$C$2:$C$60=$C1507)),""))</f>
        <v/>
      </c>
    </row>
    <row r="1508" spans="13:36" ht="25" customHeight="1" x14ac:dyDescent="0.35">
      <c r="M1508" s="13" t="str" cm="1">
        <f t="array" ref="M1508">IF($A1508="","",IFERROR(TRANSPOSE(_xlfn._xlws.FILTER(Lokale!$C$3:$C$91,Lokale!$B$3:$B$91=$A1508)),""))</f>
        <v/>
      </c>
      <c r="AJ1508" s="13" t="str" cm="1">
        <f t="array" ref="AJ1508">IF($C1508="","",IFERROR(TRANSPOSE(_xlfn._xlws.FILTER(Listy!$D$2:$D$60,Listy!$C$2:$C$60=$C1508)),""))</f>
        <v/>
      </c>
    </row>
    <row r="1509" spans="13:36" ht="25" customHeight="1" x14ac:dyDescent="0.35">
      <c r="M1509" s="13" t="str" cm="1">
        <f t="array" ref="M1509">IF($A1509="","",IFERROR(TRANSPOSE(_xlfn._xlws.FILTER(Lokale!$C$3:$C$91,Lokale!$B$3:$B$91=$A1509)),""))</f>
        <v/>
      </c>
      <c r="AJ1509" s="13" t="str" cm="1">
        <f t="array" ref="AJ1509">IF($C1509="","",IFERROR(TRANSPOSE(_xlfn._xlws.FILTER(Listy!$D$2:$D$60,Listy!$C$2:$C$60=$C1509)),""))</f>
        <v/>
      </c>
    </row>
    <row r="1510" spans="13:36" ht="25" customHeight="1" x14ac:dyDescent="0.35">
      <c r="M1510" s="13" t="str" cm="1">
        <f t="array" ref="M1510">IF($A1510="","",IFERROR(TRANSPOSE(_xlfn._xlws.FILTER(Lokale!$C$3:$C$91,Lokale!$B$3:$B$91=$A1510)),""))</f>
        <v/>
      </c>
      <c r="AJ1510" s="13" t="str" cm="1">
        <f t="array" ref="AJ1510">IF($C1510="","",IFERROR(TRANSPOSE(_xlfn._xlws.FILTER(Listy!$D$2:$D$60,Listy!$C$2:$C$60=$C1510)),""))</f>
        <v/>
      </c>
    </row>
    <row r="1511" spans="13:36" ht="25" customHeight="1" x14ac:dyDescent="0.35">
      <c r="M1511" s="13" t="str" cm="1">
        <f t="array" ref="M1511">IF($A1511="","",IFERROR(TRANSPOSE(_xlfn._xlws.FILTER(Lokale!$C$3:$C$91,Lokale!$B$3:$B$91=$A1511)),""))</f>
        <v/>
      </c>
      <c r="AJ1511" s="13" t="str" cm="1">
        <f t="array" ref="AJ1511">IF($C1511="","",IFERROR(TRANSPOSE(_xlfn._xlws.FILTER(Listy!$D$2:$D$60,Listy!$C$2:$C$60=$C1511)),""))</f>
        <v/>
      </c>
    </row>
    <row r="1512" spans="13:36" ht="25" customHeight="1" x14ac:dyDescent="0.35">
      <c r="M1512" s="13" t="str" cm="1">
        <f t="array" ref="M1512">IF($A1512="","",IFERROR(TRANSPOSE(_xlfn._xlws.FILTER(Lokale!$C$3:$C$91,Lokale!$B$3:$B$91=$A1512)),""))</f>
        <v/>
      </c>
      <c r="AJ1512" s="13" t="str" cm="1">
        <f t="array" ref="AJ1512">IF($C1512="","",IFERROR(TRANSPOSE(_xlfn._xlws.FILTER(Listy!$D$2:$D$60,Listy!$C$2:$C$60=$C1512)),""))</f>
        <v/>
      </c>
    </row>
    <row r="1513" spans="13:36" ht="25" customHeight="1" x14ac:dyDescent="0.35">
      <c r="M1513" s="13" t="str" cm="1">
        <f t="array" ref="M1513">IF($A1513="","",IFERROR(TRANSPOSE(_xlfn._xlws.FILTER(Lokale!$C$3:$C$91,Lokale!$B$3:$B$91=$A1513)),""))</f>
        <v/>
      </c>
      <c r="AJ1513" s="13" t="str" cm="1">
        <f t="array" ref="AJ1513">IF($C1513="","",IFERROR(TRANSPOSE(_xlfn._xlws.FILTER(Listy!$D$2:$D$60,Listy!$C$2:$C$60=$C1513)),""))</f>
        <v/>
      </c>
    </row>
    <row r="1514" spans="13:36" ht="25" customHeight="1" x14ac:dyDescent="0.35">
      <c r="M1514" s="13" t="str" cm="1">
        <f t="array" ref="M1514">IF($A1514="","",IFERROR(TRANSPOSE(_xlfn._xlws.FILTER(Lokale!$C$3:$C$91,Lokale!$B$3:$B$91=$A1514)),""))</f>
        <v/>
      </c>
      <c r="AJ1514" s="13" t="str" cm="1">
        <f t="array" ref="AJ1514">IF($C1514="","",IFERROR(TRANSPOSE(_xlfn._xlws.FILTER(Listy!$D$2:$D$60,Listy!$C$2:$C$60=$C1514)),""))</f>
        <v/>
      </c>
    </row>
    <row r="1515" spans="13:36" ht="25" customHeight="1" x14ac:dyDescent="0.35">
      <c r="M1515" s="13" t="str" cm="1">
        <f t="array" ref="M1515">IF($A1515="","",IFERROR(TRANSPOSE(_xlfn._xlws.FILTER(Lokale!$C$3:$C$91,Lokale!$B$3:$B$91=$A1515)),""))</f>
        <v/>
      </c>
      <c r="AJ1515" s="13" t="str" cm="1">
        <f t="array" ref="AJ1515">IF($C1515="","",IFERROR(TRANSPOSE(_xlfn._xlws.FILTER(Listy!$D$2:$D$60,Listy!$C$2:$C$60=$C1515)),""))</f>
        <v/>
      </c>
    </row>
    <row r="1516" spans="13:36" ht="25" customHeight="1" x14ac:dyDescent="0.35">
      <c r="M1516" s="13" t="str" cm="1">
        <f t="array" ref="M1516">IF($A1516="","",IFERROR(TRANSPOSE(_xlfn._xlws.FILTER(Lokale!$C$3:$C$91,Lokale!$B$3:$B$91=$A1516)),""))</f>
        <v/>
      </c>
      <c r="AJ1516" s="13" t="str" cm="1">
        <f t="array" ref="AJ1516">IF($C1516="","",IFERROR(TRANSPOSE(_xlfn._xlws.FILTER(Listy!$D$2:$D$60,Listy!$C$2:$C$60=$C1516)),""))</f>
        <v/>
      </c>
    </row>
    <row r="1517" spans="13:36" ht="25" customHeight="1" x14ac:dyDescent="0.35">
      <c r="M1517" s="13" t="str" cm="1">
        <f t="array" ref="M1517">IF($A1517="","",IFERROR(TRANSPOSE(_xlfn._xlws.FILTER(Lokale!$C$3:$C$91,Lokale!$B$3:$B$91=$A1517)),""))</f>
        <v/>
      </c>
      <c r="AJ1517" s="13" t="str" cm="1">
        <f t="array" ref="AJ1517">IF($C1517="","",IFERROR(TRANSPOSE(_xlfn._xlws.FILTER(Listy!$D$2:$D$60,Listy!$C$2:$C$60=$C1517)),""))</f>
        <v/>
      </c>
    </row>
    <row r="1518" spans="13:36" ht="25" customHeight="1" x14ac:dyDescent="0.35">
      <c r="M1518" s="13" t="str" cm="1">
        <f t="array" ref="M1518">IF($A1518="","",IFERROR(TRANSPOSE(_xlfn._xlws.FILTER(Lokale!$C$3:$C$91,Lokale!$B$3:$B$91=$A1518)),""))</f>
        <v/>
      </c>
      <c r="AJ1518" s="13" t="str" cm="1">
        <f t="array" ref="AJ1518">IF($C1518="","",IFERROR(TRANSPOSE(_xlfn._xlws.FILTER(Listy!$D$2:$D$60,Listy!$C$2:$C$60=$C1518)),""))</f>
        <v/>
      </c>
    </row>
    <row r="1519" spans="13:36" ht="25" customHeight="1" x14ac:dyDescent="0.35">
      <c r="M1519" s="13" t="str" cm="1">
        <f t="array" ref="M1519">IF($A1519="","",IFERROR(TRANSPOSE(_xlfn._xlws.FILTER(Lokale!$C$3:$C$91,Lokale!$B$3:$B$91=$A1519)),""))</f>
        <v/>
      </c>
      <c r="AJ1519" s="13" t="str" cm="1">
        <f t="array" ref="AJ1519">IF($C1519="","",IFERROR(TRANSPOSE(_xlfn._xlws.FILTER(Listy!$D$2:$D$60,Listy!$C$2:$C$60=$C1519)),""))</f>
        <v/>
      </c>
    </row>
    <row r="1520" spans="13:36" ht="25" customHeight="1" x14ac:dyDescent="0.35">
      <c r="M1520" s="13" t="str" cm="1">
        <f t="array" ref="M1520">IF($A1520="","",IFERROR(TRANSPOSE(_xlfn._xlws.FILTER(Lokale!$C$3:$C$91,Lokale!$B$3:$B$91=$A1520)),""))</f>
        <v/>
      </c>
      <c r="AJ1520" s="13" t="str" cm="1">
        <f t="array" ref="AJ1520">IF($C1520="","",IFERROR(TRANSPOSE(_xlfn._xlws.FILTER(Listy!$D$2:$D$60,Listy!$C$2:$C$60=$C1520)),""))</f>
        <v/>
      </c>
    </row>
    <row r="1521" spans="13:36" ht="25" customHeight="1" x14ac:dyDescent="0.35">
      <c r="M1521" s="13" t="str" cm="1">
        <f t="array" ref="M1521">IF($A1521="","",IFERROR(TRANSPOSE(_xlfn._xlws.FILTER(Lokale!$C$3:$C$91,Lokale!$B$3:$B$91=$A1521)),""))</f>
        <v/>
      </c>
      <c r="AJ1521" s="13" t="str" cm="1">
        <f t="array" ref="AJ1521">IF($C1521="","",IFERROR(TRANSPOSE(_xlfn._xlws.FILTER(Listy!$D$2:$D$60,Listy!$C$2:$C$60=$C1521)),""))</f>
        <v/>
      </c>
    </row>
    <row r="1522" spans="13:36" ht="25" customHeight="1" x14ac:dyDescent="0.35">
      <c r="M1522" s="13" t="str" cm="1">
        <f t="array" ref="M1522">IF($A1522="","",IFERROR(TRANSPOSE(_xlfn._xlws.FILTER(Lokale!$C$3:$C$91,Lokale!$B$3:$B$91=$A1522)),""))</f>
        <v/>
      </c>
      <c r="AJ1522" s="13" t="str" cm="1">
        <f t="array" ref="AJ1522">IF($C1522="","",IFERROR(TRANSPOSE(_xlfn._xlws.FILTER(Listy!$D$2:$D$60,Listy!$C$2:$C$60=$C1522)),""))</f>
        <v/>
      </c>
    </row>
    <row r="1523" spans="13:36" ht="25" customHeight="1" x14ac:dyDescent="0.35">
      <c r="M1523" s="13" t="str" cm="1">
        <f t="array" ref="M1523">IF($A1523="","",IFERROR(TRANSPOSE(_xlfn._xlws.FILTER(Lokale!$C$3:$C$91,Lokale!$B$3:$B$91=$A1523)),""))</f>
        <v/>
      </c>
      <c r="AJ1523" s="13" t="str" cm="1">
        <f t="array" ref="AJ1523">IF($C1523="","",IFERROR(TRANSPOSE(_xlfn._xlws.FILTER(Listy!$D$2:$D$60,Listy!$C$2:$C$60=$C1523)),""))</f>
        <v/>
      </c>
    </row>
    <row r="1524" spans="13:36" ht="25" customHeight="1" x14ac:dyDescent="0.35">
      <c r="M1524" s="13" t="str" cm="1">
        <f t="array" ref="M1524">IF($A1524="","",IFERROR(TRANSPOSE(_xlfn._xlws.FILTER(Lokale!$C$3:$C$91,Lokale!$B$3:$B$91=$A1524)),""))</f>
        <v/>
      </c>
      <c r="AJ1524" s="13" t="str" cm="1">
        <f t="array" ref="AJ1524">IF($C1524="","",IFERROR(TRANSPOSE(_xlfn._xlws.FILTER(Listy!$D$2:$D$60,Listy!$C$2:$C$60=$C1524)),""))</f>
        <v/>
      </c>
    </row>
    <row r="1525" spans="13:36" ht="25" customHeight="1" x14ac:dyDescent="0.35">
      <c r="AJ1525" s="13" t="str" cm="1">
        <f t="array" ref="AJ1525">IF($C1525="","",IFERROR(TRANSPOSE(_xlfn._xlws.FILTER(Listy!$D$2:$D$60,Listy!$C$2:$C$60=$C1525)),""))</f>
        <v/>
      </c>
    </row>
    <row r="1526" spans="13:36" ht="25" customHeight="1" x14ac:dyDescent="0.35">
      <c r="AJ1526" s="13" t="str" cm="1">
        <f t="array" ref="AJ1526">IF($C1526="","",IFERROR(TRANSPOSE(_xlfn._xlws.FILTER(Listy!$D$2:$D$60,Listy!$C$2:$C$60=$C1526)),""))</f>
        <v/>
      </c>
    </row>
    <row r="1527" spans="13:36" ht="25" customHeight="1" x14ac:dyDescent="0.35">
      <c r="AJ1527" s="13" t="str" cm="1">
        <f t="array" ref="AJ1527">IF($C1527="","",IFERROR(TRANSPOSE(_xlfn._xlws.FILTER(Listy!$D$2:$D$60,Listy!$C$2:$C$60=$C1527)),""))</f>
        <v/>
      </c>
    </row>
    <row r="1528" spans="13:36" ht="25" customHeight="1" x14ac:dyDescent="0.35">
      <c r="AJ1528" s="13" t="str" cm="1">
        <f t="array" ref="AJ1528">IF($C1528="","",IFERROR(TRANSPOSE(_xlfn._xlws.FILTER(Listy!$D$2:$D$60,Listy!$C$2:$C$60=$C1528)),""))</f>
        <v/>
      </c>
    </row>
    <row r="1529" spans="13:36" ht="25" customHeight="1" x14ac:dyDescent="0.35">
      <c r="AJ1529" s="13" t="str" cm="1">
        <f t="array" ref="AJ1529">IF($C1529="","",IFERROR(TRANSPOSE(_xlfn._xlws.FILTER(Listy!$D$2:$D$60,Listy!$C$2:$C$60=$C1529)),""))</f>
        <v/>
      </c>
    </row>
    <row r="1530" spans="13:36" ht="25" customHeight="1" x14ac:dyDescent="0.35">
      <c r="AJ1530" s="13" t="str" cm="1">
        <f t="array" ref="AJ1530">IF($C1530="","",IFERROR(TRANSPOSE(_xlfn._xlws.FILTER(Listy!$D$2:$D$60,Listy!$C$2:$C$60=$C1530)),""))</f>
        <v/>
      </c>
    </row>
    <row r="1531" spans="13:36" ht="25" customHeight="1" x14ac:dyDescent="0.35">
      <c r="AJ1531" s="13" t="str" cm="1">
        <f t="array" ref="AJ1531">IF($C1531="","",IFERROR(TRANSPOSE(_xlfn._xlws.FILTER(Listy!$D$2:$D$60,Listy!$C$2:$C$60=$C1531)),""))</f>
        <v/>
      </c>
    </row>
    <row r="1532" spans="13:36" ht="25" customHeight="1" x14ac:dyDescent="0.35">
      <c r="AJ1532" s="13" t="str" cm="1">
        <f t="array" ref="AJ1532">IF($C1532="","",IFERROR(TRANSPOSE(_xlfn._xlws.FILTER(Listy!$D$2:$D$60,Listy!$C$2:$C$60=$C1532)),""))</f>
        <v/>
      </c>
    </row>
    <row r="1533" spans="13:36" ht="25" customHeight="1" x14ac:dyDescent="0.35">
      <c r="AJ1533" s="13" t="str" cm="1">
        <f t="array" ref="AJ1533">IF($C1533="","",IFERROR(TRANSPOSE(_xlfn._xlws.FILTER(Listy!$D$2:$D$60,Listy!$C$2:$C$60=$C1533)),""))</f>
        <v/>
      </c>
    </row>
    <row r="1534" spans="13:36" ht="25" customHeight="1" x14ac:dyDescent="0.35">
      <c r="AJ1534" s="13" t="str" cm="1">
        <f t="array" ref="AJ1534">IF($C1534="","",IFERROR(TRANSPOSE(_xlfn._xlws.FILTER(Listy!$D$2:$D$60,Listy!$C$2:$C$60=$C1534)),""))</f>
        <v/>
      </c>
    </row>
    <row r="1535" spans="13:36" ht="25" customHeight="1" x14ac:dyDescent="0.35">
      <c r="AJ1535" s="13" t="str" cm="1">
        <f t="array" ref="AJ1535">IF($C1535="","",IFERROR(TRANSPOSE(_xlfn._xlws.FILTER(Listy!$D$2:$D$60,Listy!$C$2:$C$60=$C1535)),""))</f>
        <v/>
      </c>
    </row>
    <row r="1536" spans="13:36" ht="25" customHeight="1" x14ac:dyDescent="0.35">
      <c r="AJ1536" s="13" t="str" cm="1">
        <f t="array" ref="AJ1536">IF($C1536="","",IFERROR(TRANSPOSE(_xlfn._xlws.FILTER(Listy!$D$2:$D$60,Listy!$C$2:$C$60=$C1536)),""))</f>
        <v/>
      </c>
    </row>
    <row r="1537" spans="36:36" ht="25" customHeight="1" x14ac:dyDescent="0.35">
      <c r="AJ1537" s="13" t="str" cm="1">
        <f t="array" ref="AJ1537">IF($C1537="","",IFERROR(TRANSPOSE(_xlfn._xlws.FILTER(Listy!$D$2:$D$60,Listy!$C$2:$C$60=$C1537)),""))</f>
        <v/>
      </c>
    </row>
    <row r="1538" spans="36:36" ht="25" customHeight="1" x14ac:dyDescent="0.35">
      <c r="AJ1538" s="13" t="str" cm="1">
        <f t="array" ref="AJ1538">IF($C1538="","",IFERROR(TRANSPOSE(_xlfn._xlws.FILTER(Listy!$D$2:$D$60,Listy!$C$2:$C$60=$C1538)),""))</f>
        <v/>
      </c>
    </row>
    <row r="1539" spans="36:36" ht="25" customHeight="1" x14ac:dyDescent="0.35">
      <c r="AJ1539" s="13" t="str" cm="1">
        <f t="array" ref="AJ1539">IF($C1539="","",IFERROR(TRANSPOSE(_xlfn._xlws.FILTER(Listy!$D$2:$D$60,Listy!$C$2:$C$60=$C1539)),""))</f>
        <v/>
      </c>
    </row>
    <row r="1540" spans="36:36" ht="25" customHeight="1" x14ac:dyDescent="0.35">
      <c r="AJ1540" s="13" t="str" cm="1">
        <f t="array" ref="AJ1540">IF($C1540="","",IFERROR(TRANSPOSE(_xlfn._xlws.FILTER(Listy!$D$2:$D$60,Listy!$C$2:$C$60=$C1540)),""))</f>
        <v/>
      </c>
    </row>
    <row r="1541" spans="36:36" ht="25" customHeight="1" x14ac:dyDescent="0.35">
      <c r="AJ1541" s="13" t="str" cm="1">
        <f t="array" ref="AJ1541">IF($C1541="","",IFERROR(TRANSPOSE(_xlfn._xlws.FILTER(Listy!$D$2:$D$60,Listy!$C$2:$C$60=$C1541)),""))</f>
        <v/>
      </c>
    </row>
    <row r="1542" spans="36:36" ht="25" customHeight="1" x14ac:dyDescent="0.35">
      <c r="AJ1542" s="13" t="str" cm="1">
        <f t="array" ref="AJ1542">IF($C1542="","",IFERROR(TRANSPOSE(_xlfn._xlws.FILTER(Listy!$D$2:$D$60,Listy!$C$2:$C$60=$C1542)),""))</f>
        <v/>
      </c>
    </row>
    <row r="1543" spans="36:36" ht="25" customHeight="1" x14ac:dyDescent="0.35">
      <c r="AJ1543" s="13" t="str" cm="1">
        <f t="array" ref="AJ1543">IF($C1543="","",IFERROR(TRANSPOSE(_xlfn._xlws.FILTER(Listy!$D$2:$D$60,Listy!$C$2:$C$60=$C1543)),""))</f>
        <v/>
      </c>
    </row>
    <row r="1544" spans="36:36" ht="25" customHeight="1" x14ac:dyDescent="0.35">
      <c r="AJ1544" s="13" t="str" cm="1">
        <f t="array" ref="AJ1544">IF($C1544="","",IFERROR(TRANSPOSE(_xlfn._xlws.FILTER(Listy!$D$2:$D$60,Listy!$C$2:$C$60=$C1544)),""))</f>
        <v/>
      </c>
    </row>
    <row r="1545" spans="36:36" ht="25" customHeight="1" x14ac:dyDescent="0.35">
      <c r="AJ1545" s="13" t="str" cm="1">
        <f t="array" ref="AJ1545">IF($C1545="","",IFERROR(TRANSPOSE(_xlfn._xlws.FILTER(Listy!$D$2:$D$60,Listy!$C$2:$C$60=$C1545)),""))</f>
        <v/>
      </c>
    </row>
    <row r="1546" spans="36:36" ht="25" customHeight="1" x14ac:dyDescent="0.35">
      <c r="AJ1546" s="13" t="str" cm="1">
        <f t="array" ref="AJ1546">IF($C1546="","",IFERROR(TRANSPOSE(_xlfn._xlws.FILTER(Listy!$D$2:$D$60,Listy!$C$2:$C$60=$C1546)),""))</f>
        <v/>
      </c>
    </row>
    <row r="1547" spans="36:36" ht="25" customHeight="1" x14ac:dyDescent="0.35">
      <c r="AJ1547" s="13" t="str" cm="1">
        <f t="array" ref="AJ1547">IF($C1547="","",IFERROR(TRANSPOSE(_xlfn._xlws.FILTER(Listy!$D$2:$D$60,Listy!$C$2:$C$60=$C1547)),""))</f>
        <v/>
      </c>
    </row>
    <row r="1548" spans="36:36" ht="25" customHeight="1" x14ac:dyDescent="0.35">
      <c r="AJ1548" s="13" t="str" cm="1">
        <f t="array" ref="AJ1548">IF($C1548="","",IFERROR(TRANSPOSE(_xlfn._xlws.FILTER(Listy!$D$2:$D$60,Listy!$C$2:$C$60=$C1548)),""))</f>
        <v/>
      </c>
    </row>
    <row r="1549" spans="36:36" ht="25" customHeight="1" x14ac:dyDescent="0.35">
      <c r="AJ1549" s="13" t="str" cm="1">
        <f t="array" ref="AJ1549">IF($C1549="","",IFERROR(TRANSPOSE(_xlfn._xlws.FILTER(Listy!$D$2:$D$60,Listy!$C$2:$C$60=$C1549)),""))</f>
        <v/>
      </c>
    </row>
    <row r="1550" spans="36:36" ht="25" customHeight="1" x14ac:dyDescent="0.35">
      <c r="AJ1550" s="13" t="str" cm="1">
        <f t="array" ref="AJ1550">IF($C1550="","",IFERROR(TRANSPOSE(_xlfn._xlws.FILTER(Listy!$D$2:$D$60,Listy!$C$2:$C$60=$C1550)),""))</f>
        <v/>
      </c>
    </row>
    <row r="1551" spans="36:36" ht="25" customHeight="1" x14ac:dyDescent="0.35">
      <c r="AJ1551" s="13" t="str" cm="1">
        <f t="array" ref="AJ1551">IF($C1551="","",IFERROR(TRANSPOSE(_xlfn._xlws.FILTER(Listy!$D$2:$D$60,Listy!$C$2:$C$60=$C1551)),""))</f>
        <v/>
      </c>
    </row>
    <row r="1552" spans="36:36" ht="25" customHeight="1" x14ac:dyDescent="0.35">
      <c r="AJ1552" s="13" t="str" cm="1">
        <f t="array" ref="AJ1552">IF($C1552="","",IFERROR(TRANSPOSE(_xlfn._xlws.FILTER(Listy!$D$2:$D$60,Listy!$C$2:$C$60=$C1552)),""))</f>
        <v/>
      </c>
    </row>
    <row r="1553" spans="36:36" ht="25" customHeight="1" x14ac:dyDescent="0.35">
      <c r="AJ1553" s="13" t="str" cm="1">
        <f t="array" ref="AJ1553">IF($C1553="","",IFERROR(TRANSPOSE(_xlfn._xlws.FILTER(Listy!$D$2:$D$60,Listy!$C$2:$C$60=$C1553)),""))</f>
        <v/>
      </c>
    </row>
    <row r="1554" spans="36:36" ht="25" customHeight="1" x14ac:dyDescent="0.35">
      <c r="AJ1554" s="13" t="str" cm="1">
        <f t="array" ref="AJ1554">IF($C1554="","",IFERROR(TRANSPOSE(_xlfn._xlws.FILTER(Listy!$D$2:$D$60,Listy!$C$2:$C$60=$C1554)),""))</f>
        <v/>
      </c>
    </row>
    <row r="1555" spans="36:36" ht="25" customHeight="1" x14ac:dyDescent="0.35">
      <c r="AJ1555" s="13" t="str" cm="1">
        <f t="array" ref="AJ1555">IF($C1555="","",IFERROR(TRANSPOSE(_xlfn._xlws.FILTER(Listy!$D$2:$D$60,Listy!$C$2:$C$60=$C1555)),""))</f>
        <v/>
      </c>
    </row>
    <row r="1556" spans="36:36" ht="25" customHeight="1" x14ac:dyDescent="0.35">
      <c r="AJ1556" s="13" t="str" cm="1">
        <f t="array" ref="AJ1556">IF($C1556="","",IFERROR(TRANSPOSE(_xlfn._xlws.FILTER(Listy!$D$2:$D$60,Listy!$C$2:$C$60=$C1556)),""))</f>
        <v/>
      </c>
    </row>
    <row r="1557" spans="36:36" ht="25" customHeight="1" x14ac:dyDescent="0.35">
      <c r="AJ1557" s="13" t="str" cm="1">
        <f t="array" ref="AJ1557">IF($C1557="","",IFERROR(TRANSPOSE(_xlfn._xlws.FILTER(Listy!$D$2:$D$60,Listy!$C$2:$C$60=$C1557)),""))</f>
        <v/>
      </c>
    </row>
    <row r="1558" spans="36:36" ht="25" customHeight="1" x14ac:dyDescent="0.35">
      <c r="AJ1558" s="13" t="str" cm="1">
        <f t="array" ref="AJ1558">IF($C1558="","",IFERROR(TRANSPOSE(_xlfn._xlws.FILTER(Listy!$D$2:$D$60,Listy!$C$2:$C$60=$C1558)),""))</f>
        <v/>
      </c>
    </row>
    <row r="1559" spans="36:36" ht="25" customHeight="1" x14ac:dyDescent="0.35">
      <c r="AJ1559" s="13" t="str" cm="1">
        <f t="array" ref="AJ1559">IF($C1559="","",IFERROR(TRANSPOSE(_xlfn._xlws.FILTER(Listy!$D$2:$D$60,Listy!$C$2:$C$60=$C1559)),""))</f>
        <v/>
      </c>
    </row>
    <row r="1560" spans="36:36" ht="25" customHeight="1" x14ac:dyDescent="0.35">
      <c r="AJ1560" s="13" t="str" cm="1">
        <f t="array" ref="AJ1560">IF($C1560="","",IFERROR(TRANSPOSE(_xlfn._xlws.FILTER(Listy!$D$2:$D$60,Listy!$C$2:$C$60=$C1560)),""))</f>
        <v/>
      </c>
    </row>
    <row r="1561" spans="36:36" ht="25" customHeight="1" x14ac:dyDescent="0.35">
      <c r="AJ1561" s="13" t="str" cm="1">
        <f t="array" ref="AJ1561">IF($C1561="","",IFERROR(TRANSPOSE(_xlfn._xlws.FILTER(Listy!$D$2:$D$60,Listy!$C$2:$C$60=$C1561)),""))</f>
        <v/>
      </c>
    </row>
    <row r="1562" spans="36:36" ht="25" customHeight="1" x14ac:dyDescent="0.35">
      <c r="AJ1562" s="13" t="str" cm="1">
        <f t="array" ref="AJ1562">IF($C1562="","",IFERROR(TRANSPOSE(_xlfn._xlws.FILTER(Listy!$D$2:$D$60,Listy!$C$2:$C$60=$C1562)),""))</f>
        <v/>
      </c>
    </row>
    <row r="1563" spans="36:36" ht="25" customHeight="1" x14ac:dyDescent="0.35">
      <c r="AJ1563" s="13" t="str" cm="1">
        <f t="array" ref="AJ1563">IF($C1563="","",IFERROR(TRANSPOSE(_xlfn._xlws.FILTER(Listy!$D$2:$D$60,Listy!$C$2:$C$60=$C1563)),""))</f>
        <v/>
      </c>
    </row>
    <row r="1564" spans="36:36" ht="25" customHeight="1" x14ac:dyDescent="0.35">
      <c r="AJ1564" s="13" t="str" cm="1">
        <f t="array" ref="AJ1564">IF($C1564="","",IFERROR(TRANSPOSE(_xlfn._xlws.FILTER(Listy!$D$2:$D$60,Listy!$C$2:$C$60=$C1564)),""))</f>
        <v/>
      </c>
    </row>
    <row r="1565" spans="36:36" ht="25" customHeight="1" x14ac:dyDescent="0.35">
      <c r="AJ1565" s="13" t="str" cm="1">
        <f t="array" ref="AJ1565">IF($C1565="","",IFERROR(TRANSPOSE(_xlfn._xlws.FILTER(Listy!$D$2:$D$60,Listy!$C$2:$C$60=$C1565)),""))</f>
        <v/>
      </c>
    </row>
    <row r="1566" spans="36:36" ht="25" customHeight="1" x14ac:dyDescent="0.35">
      <c r="AJ1566" s="13" t="str" cm="1">
        <f t="array" ref="AJ1566">IF($C1566="","",IFERROR(TRANSPOSE(_xlfn._xlws.FILTER(Listy!$D$2:$D$60,Listy!$C$2:$C$60=$C1566)),""))</f>
        <v/>
      </c>
    </row>
    <row r="1567" spans="36:36" ht="25" customHeight="1" x14ac:dyDescent="0.35">
      <c r="AJ1567" s="13" t="str" cm="1">
        <f t="array" ref="AJ1567">IF($C1567="","",IFERROR(TRANSPOSE(_xlfn._xlws.FILTER(Listy!$D$2:$D$60,Listy!$C$2:$C$60=$C1567)),""))</f>
        <v/>
      </c>
    </row>
    <row r="1568" spans="36:36" ht="25" customHeight="1" x14ac:dyDescent="0.35">
      <c r="AJ1568" s="13" t="str" cm="1">
        <f t="array" ref="AJ1568">IF($C1568="","",IFERROR(TRANSPOSE(_xlfn._xlws.FILTER(Listy!$D$2:$D$60,Listy!$C$2:$C$60=$C1568)),""))</f>
        <v/>
      </c>
    </row>
    <row r="1569" spans="36:36" ht="25" customHeight="1" x14ac:dyDescent="0.35">
      <c r="AJ1569" s="13" t="str" cm="1">
        <f t="array" ref="AJ1569">IF($C1569="","",IFERROR(TRANSPOSE(_xlfn._xlws.FILTER(Listy!$D$2:$D$60,Listy!$C$2:$C$60=$C1569)),""))</f>
        <v/>
      </c>
    </row>
    <row r="1570" spans="36:36" ht="25" customHeight="1" x14ac:dyDescent="0.35">
      <c r="AJ1570" s="13" t="str" cm="1">
        <f t="array" ref="AJ1570">IF($C1570="","",IFERROR(TRANSPOSE(_xlfn._xlws.FILTER(Listy!$D$2:$D$60,Listy!$C$2:$C$60=$C1570)),""))</f>
        <v/>
      </c>
    </row>
    <row r="1571" spans="36:36" ht="25" customHeight="1" x14ac:dyDescent="0.35">
      <c r="AJ1571" s="13" t="str" cm="1">
        <f t="array" ref="AJ1571">IF($C1571="","",IFERROR(TRANSPOSE(_xlfn._xlws.FILTER(Listy!$D$2:$D$60,Listy!$C$2:$C$60=$C1571)),""))</f>
        <v/>
      </c>
    </row>
    <row r="1572" spans="36:36" ht="25" customHeight="1" x14ac:dyDescent="0.35">
      <c r="AJ1572" s="13" t="str" cm="1">
        <f t="array" ref="AJ1572">IF($C1572="","",IFERROR(TRANSPOSE(_xlfn._xlws.FILTER(Listy!$D$2:$D$60,Listy!$C$2:$C$60=$C1572)),""))</f>
        <v/>
      </c>
    </row>
    <row r="1573" spans="36:36" ht="25" customHeight="1" x14ac:dyDescent="0.35">
      <c r="AJ1573" s="13" t="str" cm="1">
        <f t="array" ref="AJ1573">IF($C1573="","",IFERROR(TRANSPOSE(_xlfn._xlws.FILTER(Listy!$D$2:$D$60,Listy!$C$2:$C$60=$C1573)),""))</f>
        <v/>
      </c>
    </row>
    <row r="1574" spans="36:36" ht="25" customHeight="1" x14ac:dyDescent="0.35">
      <c r="AJ1574" s="13" t="str" cm="1">
        <f t="array" ref="AJ1574">IF($C1574="","",IFERROR(TRANSPOSE(_xlfn._xlws.FILTER(Listy!$D$2:$D$60,Listy!$C$2:$C$60=$C1574)),""))</f>
        <v/>
      </c>
    </row>
    <row r="1575" spans="36:36" ht="25" customHeight="1" x14ac:dyDescent="0.35">
      <c r="AJ1575" s="13" t="str" cm="1">
        <f t="array" ref="AJ1575">IF($C1575="","",IFERROR(TRANSPOSE(_xlfn._xlws.FILTER(Listy!$D$2:$D$60,Listy!$C$2:$C$60=$C1575)),""))</f>
        <v/>
      </c>
    </row>
    <row r="1576" spans="36:36" ht="25" customHeight="1" x14ac:dyDescent="0.35">
      <c r="AJ1576" s="13" t="str" cm="1">
        <f t="array" ref="AJ1576">IF($C1576="","",IFERROR(TRANSPOSE(_xlfn._xlws.FILTER(Listy!$D$2:$D$60,Listy!$C$2:$C$60=$C1576)),""))</f>
        <v/>
      </c>
    </row>
    <row r="1577" spans="36:36" ht="25" customHeight="1" x14ac:dyDescent="0.35">
      <c r="AJ1577" s="13" t="str" cm="1">
        <f t="array" ref="AJ1577">IF($C1577="","",IFERROR(TRANSPOSE(_xlfn._xlws.FILTER(Listy!$D$2:$D$60,Listy!$C$2:$C$60=$C1577)),""))</f>
        <v/>
      </c>
    </row>
    <row r="1578" spans="36:36" ht="25" customHeight="1" x14ac:dyDescent="0.35">
      <c r="AJ1578" s="13" t="str" cm="1">
        <f t="array" ref="AJ1578">IF($C1578="","",IFERROR(TRANSPOSE(_xlfn._xlws.FILTER(Listy!$D$2:$D$60,Listy!$C$2:$C$60=$C1578)),""))</f>
        <v/>
      </c>
    </row>
    <row r="1579" spans="36:36" ht="25" customHeight="1" x14ac:dyDescent="0.35">
      <c r="AJ1579" s="13" t="str" cm="1">
        <f t="array" ref="AJ1579">IF($C1579="","",IFERROR(TRANSPOSE(_xlfn._xlws.FILTER(Listy!$D$2:$D$60,Listy!$C$2:$C$60=$C1579)),""))</f>
        <v/>
      </c>
    </row>
    <row r="1580" spans="36:36" ht="25" customHeight="1" x14ac:dyDescent="0.35">
      <c r="AJ1580" s="13" t="str" cm="1">
        <f t="array" ref="AJ1580">IF($C1580="","",IFERROR(TRANSPOSE(_xlfn._xlws.FILTER(Listy!$D$2:$D$60,Listy!$C$2:$C$60=$C1580)),""))</f>
        <v/>
      </c>
    </row>
    <row r="1581" spans="36:36" ht="25" customHeight="1" x14ac:dyDescent="0.35">
      <c r="AJ1581" s="13" t="str" cm="1">
        <f t="array" ref="AJ1581">IF($C1581="","",IFERROR(TRANSPOSE(_xlfn._xlws.FILTER(Listy!$D$2:$D$60,Listy!$C$2:$C$60=$C1581)),""))</f>
        <v/>
      </c>
    </row>
    <row r="1582" spans="36:36" ht="25" customHeight="1" x14ac:dyDescent="0.35">
      <c r="AJ1582" s="13" t="str" cm="1">
        <f t="array" ref="AJ1582">IF($C1582="","",IFERROR(TRANSPOSE(_xlfn._xlws.FILTER(Listy!$D$2:$D$60,Listy!$C$2:$C$60=$C1582)),""))</f>
        <v/>
      </c>
    </row>
    <row r="1583" spans="36:36" ht="25" customHeight="1" x14ac:dyDescent="0.35">
      <c r="AJ1583" s="13" t="str" cm="1">
        <f t="array" ref="AJ1583">IF($C1583="","",IFERROR(TRANSPOSE(_xlfn._xlws.FILTER(Listy!$D$2:$D$60,Listy!$C$2:$C$60=$C1583)),""))</f>
        <v/>
      </c>
    </row>
    <row r="1584" spans="36:36" ht="25" customHeight="1" x14ac:dyDescent="0.35">
      <c r="AJ1584" s="13" t="str" cm="1">
        <f t="array" ref="AJ1584">IF($C1584="","",IFERROR(TRANSPOSE(_xlfn._xlws.FILTER(Listy!$D$2:$D$60,Listy!$C$2:$C$60=$C1584)),""))</f>
        <v/>
      </c>
    </row>
    <row r="1585" spans="36:36" ht="25" customHeight="1" x14ac:dyDescent="0.35">
      <c r="AJ1585" s="13" t="str" cm="1">
        <f t="array" ref="AJ1585">IF($C1585="","",IFERROR(TRANSPOSE(_xlfn._xlws.FILTER(Listy!$D$2:$D$60,Listy!$C$2:$C$60=$C1585)),""))</f>
        <v/>
      </c>
    </row>
    <row r="1586" spans="36:36" ht="25" customHeight="1" x14ac:dyDescent="0.35">
      <c r="AJ1586" s="13" t="str" cm="1">
        <f t="array" ref="AJ1586">IF($C1586="","",IFERROR(TRANSPOSE(_xlfn._xlws.FILTER(Listy!$D$2:$D$60,Listy!$C$2:$C$60=$C1586)),""))</f>
        <v/>
      </c>
    </row>
    <row r="1587" spans="36:36" ht="25" customHeight="1" x14ac:dyDescent="0.35">
      <c r="AJ1587" s="13" t="str" cm="1">
        <f t="array" ref="AJ1587">IF($C1587="","",IFERROR(TRANSPOSE(_xlfn._xlws.FILTER(Listy!$D$2:$D$60,Listy!$C$2:$C$60=$C1587)),""))</f>
        <v/>
      </c>
    </row>
    <row r="1588" spans="36:36" ht="25" customHeight="1" x14ac:dyDescent="0.35">
      <c r="AJ1588" s="13" t="str" cm="1">
        <f t="array" ref="AJ1588">IF($C1588="","",IFERROR(TRANSPOSE(_xlfn._xlws.FILTER(Listy!$D$2:$D$60,Listy!$C$2:$C$60=$C1588)),""))</f>
        <v/>
      </c>
    </row>
    <row r="1589" spans="36:36" ht="25" customHeight="1" x14ac:dyDescent="0.35">
      <c r="AJ1589" s="13" t="str" cm="1">
        <f t="array" ref="AJ1589">IF($C1589="","",IFERROR(TRANSPOSE(_xlfn._xlws.FILTER(Listy!$D$2:$D$60,Listy!$C$2:$C$60=$C1589)),""))</f>
        <v/>
      </c>
    </row>
    <row r="1590" spans="36:36" ht="25" customHeight="1" x14ac:dyDescent="0.35">
      <c r="AJ1590" s="13" t="str" cm="1">
        <f t="array" ref="AJ1590">IF($C1590="","",IFERROR(TRANSPOSE(_xlfn._xlws.FILTER(Listy!$D$2:$D$60,Listy!$C$2:$C$60=$C1590)),""))</f>
        <v/>
      </c>
    </row>
    <row r="1591" spans="36:36" ht="25" customHeight="1" x14ac:dyDescent="0.35">
      <c r="AJ1591" s="13" t="str" cm="1">
        <f t="array" ref="AJ1591">IF($C1591="","",IFERROR(TRANSPOSE(_xlfn._xlws.FILTER(Listy!$D$2:$D$60,Listy!$C$2:$C$60=$C1591)),""))</f>
        <v/>
      </c>
    </row>
    <row r="1592" spans="36:36" ht="25" customHeight="1" x14ac:dyDescent="0.35">
      <c r="AJ1592" s="13" t="str" cm="1">
        <f t="array" ref="AJ1592">IF($C1592="","",IFERROR(TRANSPOSE(_xlfn._xlws.FILTER(Listy!$D$2:$D$60,Listy!$C$2:$C$60=$C1592)),""))</f>
        <v/>
      </c>
    </row>
    <row r="1593" spans="36:36" ht="25" customHeight="1" x14ac:dyDescent="0.35">
      <c r="AJ1593" s="13" t="str" cm="1">
        <f t="array" ref="AJ1593">IF($C1593="","",IFERROR(TRANSPOSE(_xlfn._xlws.FILTER(Listy!$D$2:$D$60,Listy!$C$2:$C$60=$C1593)),""))</f>
        <v/>
      </c>
    </row>
    <row r="1594" spans="36:36" ht="25" customHeight="1" x14ac:dyDescent="0.35">
      <c r="AJ1594" s="13" t="str" cm="1">
        <f t="array" ref="AJ1594">IF($C1594="","",IFERROR(TRANSPOSE(_xlfn._xlws.FILTER(Listy!$D$2:$D$60,Listy!$C$2:$C$60=$C1594)),""))</f>
        <v/>
      </c>
    </row>
    <row r="1595" spans="36:36" ht="25" customHeight="1" x14ac:dyDescent="0.35">
      <c r="AJ1595" s="13" t="str" cm="1">
        <f t="array" ref="AJ1595">IF($C1595="","",IFERROR(TRANSPOSE(_xlfn._xlws.FILTER(Listy!$D$2:$D$60,Listy!$C$2:$C$60=$C1595)),""))</f>
        <v/>
      </c>
    </row>
    <row r="1596" spans="36:36" ht="25" customHeight="1" x14ac:dyDescent="0.35">
      <c r="AJ1596" s="13" t="str" cm="1">
        <f t="array" ref="AJ1596">IF($C1596="","",IFERROR(TRANSPOSE(_xlfn._xlws.FILTER(Listy!$D$2:$D$60,Listy!$C$2:$C$60=$C1596)),""))</f>
        <v/>
      </c>
    </row>
    <row r="1597" spans="36:36" ht="25" customHeight="1" x14ac:dyDescent="0.35">
      <c r="AJ1597" s="13" t="str" cm="1">
        <f t="array" ref="AJ1597">IF($C1597="","",IFERROR(TRANSPOSE(_xlfn._xlws.FILTER(Listy!$D$2:$D$60,Listy!$C$2:$C$60=$C1597)),""))</f>
        <v/>
      </c>
    </row>
    <row r="1598" spans="36:36" ht="25" customHeight="1" x14ac:dyDescent="0.35">
      <c r="AJ1598" s="13" t="str" cm="1">
        <f t="array" ref="AJ1598">IF($C1598="","",IFERROR(TRANSPOSE(_xlfn._xlws.FILTER(Listy!$D$2:$D$60,Listy!$C$2:$C$60=$C1598)),""))</f>
        <v/>
      </c>
    </row>
    <row r="1599" spans="36:36" ht="25" customHeight="1" x14ac:dyDescent="0.35">
      <c r="AJ1599" s="13" t="str" cm="1">
        <f t="array" ref="AJ1599">IF($C1599="","",IFERROR(TRANSPOSE(_xlfn._xlws.FILTER(Listy!$D$2:$D$60,Listy!$C$2:$C$60=$C1599)),""))</f>
        <v/>
      </c>
    </row>
    <row r="1600" spans="36:36" ht="25" customHeight="1" x14ac:dyDescent="0.35">
      <c r="AJ1600" s="13" t="str" cm="1">
        <f t="array" ref="AJ1600">IF($C1600="","",IFERROR(TRANSPOSE(_xlfn._xlws.FILTER(Listy!$D$2:$D$60,Listy!$C$2:$C$60=$C1600)),""))</f>
        <v/>
      </c>
    </row>
    <row r="1601" spans="36:36" ht="25" customHeight="1" x14ac:dyDescent="0.35">
      <c r="AJ1601" s="13" t="str" cm="1">
        <f t="array" ref="AJ1601">IF($C1601="","",IFERROR(TRANSPOSE(_xlfn._xlws.FILTER(Listy!$D$2:$D$60,Listy!$C$2:$C$60=$C1601)),""))</f>
        <v/>
      </c>
    </row>
    <row r="1602" spans="36:36" ht="25" customHeight="1" x14ac:dyDescent="0.35">
      <c r="AJ1602" s="13" t="str" cm="1">
        <f t="array" ref="AJ1602">IF($C1602="","",IFERROR(TRANSPOSE(_xlfn._xlws.FILTER(Listy!$D$2:$D$60,Listy!$C$2:$C$60=$C1602)),""))</f>
        <v/>
      </c>
    </row>
    <row r="1603" spans="36:36" ht="25" customHeight="1" x14ac:dyDescent="0.35">
      <c r="AJ1603" s="13" t="str" cm="1">
        <f t="array" ref="AJ1603">IF($C1603="","",IFERROR(TRANSPOSE(_xlfn._xlws.FILTER(Listy!$D$2:$D$60,Listy!$C$2:$C$60=$C1603)),""))</f>
        <v/>
      </c>
    </row>
    <row r="1604" spans="36:36" ht="25" customHeight="1" x14ac:dyDescent="0.35">
      <c r="AJ1604" s="13" t="str" cm="1">
        <f t="array" ref="AJ1604">IF($C1604="","",IFERROR(TRANSPOSE(_xlfn._xlws.FILTER(Listy!$D$2:$D$60,Listy!$C$2:$C$60=$C1604)),""))</f>
        <v/>
      </c>
    </row>
    <row r="1605" spans="36:36" ht="25" customHeight="1" x14ac:dyDescent="0.35">
      <c r="AJ1605" s="13" t="str" cm="1">
        <f t="array" ref="AJ1605">IF($C1605="","",IFERROR(TRANSPOSE(_xlfn._xlws.FILTER(Listy!$D$2:$D$60,Listy!$C$2:$C$60=$C1605)),""))</f>
        <v/>
      </c>
    </row>
    <row r="1606" spans="36:36" ht="25" customHeight="1" x14ac:dyDescent="0.35">
      <c r="AJ1606" s="13" t="str" cm="1">
        <f t="array" ref="AJ1606">IF($C1606="","",IFERROR(TRANSPOSE(_xlfn._xlws.FILTER(Listy!$D$2:$D$60,Listy!$C$2:$C$60=$C1606)),""))</f>
        <v/>
      </c>
    </row>
    <row r="1607" spans="36:36" ht="25" customHeight="1" x14ac:dyDescent="0.35">
      <c r="AJ1607" s="13" t="str" cm="1">
        <f t="array" ref="AJ1607">IF($C1607="","",IFERROR(TRANSPOSE(_xlfn._xlws.FILTER(Listy!$D$2:$D$60,Listy!$C$2:$C$60=$C1607)),""))</f>
        <v/>
      </c>
    </row>
    <row r="1608" spans="36:36" ht="25" customHeight="1" x14ac:dyDescent="0.35">
      <c r="AJ1608" s="13" t="str" cm="1">
        <f t="array" ref="AJ1608">IF($C1608="","",IFERROR(TRANSPOSE(_xlfn._xlws.FILTER(Listy!$D$2:$D$60,Listy!$C$2:$C$60=$C1608)),""))</f>
        <v/>
      </c>
    </row>
    <row r="1609" spans="36:36" ht="25" customHeight="1" x14ac:dyDescent="0.35">
      <c r="AJ1609" s="13" t="str" cm="1">
        <f t="array" ref="AJ1609">IF($C1609="","",IFERROR(TRANSPOSE(_xlfn._xlws.FILTER(Listy!$D$2:$D$60,Listy!$C$2:$C$60=$C1609)),""))</f>
        <v/>
      </c>
    </row>
    <row r="1610" spans="36:36" ht="25" customHeight="1" x14ac:dyDescent="0.35">
      <c r="AJ1610" s="13" t="str" cm="1">
        <f t="array" ref="AJ1610">IF($C1610="","",IFERROR(TRANSPOSE(_xlfn._xlws.FILTER(Listy!$D$2:$D$60,Listy!$C$2:$C$60=$C1610)),""))</f>
        <v/>
      </c>
    </row>
    <row r="1611" spans="36:36" ht="25" customHeight="1" x14ac:dyDescent="0.35">
      <c r="AJ1611" s="13" t="str" cm="1">
        <f t="array" ref="AJ1611">IF($C1611="","",IFERROR(TRANSPOSE(_xlfn._xlws.FILTER(Listy!$D$2:$D$60,Listy!$C$2:$C$60=$C1611)),""))</f>
        <v/>
      </c>
    </row>
    <row r="1612" spans="36:36" ht="25" customHeight="1" x14ac:dyDescent="0.35">
      <c r="AJ1612" s="13" t="str" cm="1">
        <f t="array" ref="AJ1612">IF($C1612="","",IFERROR(TRANSPOSE(_xlfn._xlws.FILTER(Listy!$D$2:$D$60,Listy!$C$2:$C$60=$C1612)),""))</f>
        <v/>
      </c>
    </row>
    <row r="1613" spans="36:36" ht="25" customHeight="1" x14ac:dyDescent="0.35">
      <c r="AJ1613" s="13" t="str" cm="1">
        <f t="array" ref="AJ1613">IF($C1613="","",IFERROR(TRANSPOSE(_xlfn._xlws.FILTER(Listy!$D$2:$D$60,Listy!$C$2:$C$60=$C1613)),""))</f>
        <v/>
      </c>
    </row>
    <row r="1614" spans="36:36" ht="25" customHeight="1" x14ac:dyDescent="0.35">
      <c r="AJ1614" s="13" t="str" cm="1">
        <f t="array" ref="AJ1614">IF($C1614="","",IFERROR(TRANSPOSE(_xlfn._xlws.FILTER(Listy!$D$2:$D$60,Listy!$C$2:$C$60=$C1614)),""))</f>
        <v/>
      </c>
    </row>
    <row r="1615" spans="36:36" ht="25" customHeight="1" x14ac:dyDescent="0.35">
      <c r="AJ1615" s="13" t="str" cm="1">
        <f t="array" ref="AJ1615">IF($C1615="","",IFERROR(TRANSPOSE(_xlfn._xlws.FILTER(Listy!$D$2:$D$60,Listy!$C$2:$C$60=$C1615)),""))</f>
        <v/>
      </c>
    </row>
    <row r="1616" spans="36:36" ht="25" customHeight="1" x14ac:dyDescent="0.35">
      <c r="AJ1616" s="13" t="str" cm="1">
        <f t="array" ref="AJ1616">IF($C1616="","",IFERROR(TRANSPOSE(_xlfn._xlws.FILTER(Listy!$D$2:$D$60,Listy!$C$2:$C$60=$C1616)),""))</f>
        <v/>
      </c>
    </row>
    <row r="1617" spans="36:36" ht="25" customHeight="1" x14ac:dyDescent="0.35">
      <c r="AJ1617" s="13" t="str" cm="1">
        <f t="array" ref="AJ1617">IF($C1617="","",IFERROR(TRANSPOSE(_xlfn._xlws.FILTER(Listy!$D$2:$D$60,Listy!$C$2:$C$60=$C1617)),""))</f>
        <v/>
      </c>
    </row>
    <row r="1618" spans="36:36" ht="25" customHeight="1" x14ac:dyDescent="0.35">
      <c r="AJ1618" s="13" t="str" cm="1">
        <f t="array" ref="AJ1618">IF($C1618="","",IFERROR(TRANSPOSE(_xlfn._xlws.FILTER(Listy!$D$2:$D$60,Listy!$C$2:$C$60=$C1618)),""))</f>
        <v/>
      </c>
    </row>
    <row r="1619" spans="36:36" ht="25" customHeight="1" x14ac:dyDescent="0.35">
      <c r="AJ1619" s="13" t="str" cm="1">
        <f t="array" ref="AJ1619">IF($C1619="","",IFERROR(TRANSPOSE(_xlfn._xlws.FILTER(Listy!$D$2:$D$60,Listy!$C$2:$C$60=$C1619)),""))</f>
        <v/>
      </c>
    </row>
    <row r="1620" spans="36:36" ht="25" customHeight="1" x14ac:dyDescent="0.35">
      <c r="AJ1620" s="13" t="str" cm="1">
        <f t="array" ref="AJ1620">IF($C1620="","",IFERROR(TRANSPOSE(_xlfn._xlws.FILTER(Listy!$D$2:$D$60,Listy!$C$2:$C$60=$C1620)),""))</f>
        <v/>
      </c>
    </row>
    <row r="1621" spans="36:36" ht="25" customHeight="1" x14ac:dyDescent="0.35">
      <c r="AJ1621" s="13" t="str" cm="1">
        <f t="array" ref="AJ1621">IF($C1621="","",IFERROR(TRANSPOSE(_xlfn._xlws.FILTER(Listy!$D$2:$D$60,Listy!$C$2:$C$60=$C1621)),""))</f>
        <v/>
      </c>
    </row>
    <row r="1622" spans="36:36" ht="25" customHeight="1" x14ac:dyDescent="0.35">
      <c r="AJ1622" s="13" t="str" cm="1">
        <f t="array" ref="AJ1622">IF($C1622="","",IFERROR(TRANSPOSE(_xlfn._xlws.FILTER(Listy!$D$2:$D$60,Listy!$C$2:$C$60=$C1622)),""))</f>
        <v/>
      </c>
    </row>
    <row r="1623" spans="36:36" ht="25" customHeight="1" x14ac:dyDescent="0.35">
      <c r="AJ1623" s="13" t="str" cm="1">
        <f t="array" ref="AJ1623">IF($C1623="","",IFERROR(TRANSPOSE(_xlfn._xlws.FILTER(Listy!$D$2:$D$60,Listy!$C$2:$C$60=$C1623)),""))</f>
        <v/>
      </c>
    </row>
    <row r="1624" spans="36:36" ht="25" customHeight="1" x14ac:dyDescent="0.35">
      <c r="AJ1624" s="13" t="str" cm="1">
        <f t="array" ref="AJ1624">IF($C1624="","",IFERROR(TRANSPOSE(_xlfn._xlws.FILTER(Listy!$D$2:$D$60,Listy!$C$2:$C$60=$C1624)),""))</f>
        <v/>
      </c>
    </row>
    <row r="1625" spans="36:36" ht="25" customHeight="1" x14ac:dyDescent="0.35">
      <c r="AJ1625" s="13" t="str" cm="1">
        <f t="array" ref="AJ1625">IF($C1625="","",IFERROR(TRANSPOSE(_xlfn._xlws.FILTER(Listy!$D$2:$D$60,Listy!$C$2:$C$60=$C1625)),""))</f>
        <v/>
      </c>
    </row>
    <row r="1626" spans="36:36" ht="25" customHeight="1" x14ac:dyDescent="0.35">
      <c r="AJ1626" s="13" t="str" cm="1">
        <f t="array" ref="AJ1626">IF($C1626="","",IFERROR(TRANSPOSE(_xlfn._xlws.FILTER(Listy!$D$2:$D$60,Listy!$C$2:$C$60=$C1626)),""))</f>
        <v/>
      </c>
    </row>
    <row r="1627" spans="36:36" ht="25" customHeight="1" x14ac:dyDescent="0.35">
      <c r="AJ1627" s="13" t="str" cm="1">
        <f t="array" ref="AJ1627">IF($C1627="","",IFERROR(TRANSPOSE(_xlfn._xlws.FILTER(Listy!$D$2:$D$60,Listy!$C$2:$C$60=$C1627)),""))</f>
        <v/>
      </c>
    </row>
    <row r="1628" spans="36:36" ht="25" customHeight="1" x14ac:dyDescent="0.35">
      <c r="AJ1628" s="13" t="str" cm="1">
        <f t="array" ref="AJ1628">IF($C1628="","",IFERROR(TRANSPOSE(_xlfn._xlws.FILTER(Listy!$D$2:$D$60,Listy!$C$2:$C$60=$C1628)),""))</f>
        <v/>
      </c>
    </row>
    <row r="1629" spans="36:36" ht="25" customHeight="1" x14ac:dyDescent="0.35">
      <c r="AJ1629" s="13" t="str" cm="1">
        <f t="array" ref="AJ1629">IF($C1629="","",IFERROR(TRANSPOSE(_xlfn._xlws.FILTER(Listy!$D$2:$D$60,Listy!$C$2:$C$60=$C1629)),""))</f>
        <v/>
      </c>
    </row>
    <row r="1630" spans="36:36" ht="25" customHeight="1" x14ac:dyDescent="0.35">
      <c r="AJ1630" s="13" t="str" cm="1">
        <f t="array" ref="AJ1630">IF($C1630="","",IFERROR(TRANSPOSE(_xlfn._xlws.FILTER(Listy!$D$2:$D$60,Listy!$C$2:$C$60=$C1630)),""))</f>
        <v/>
      </c>
    </row>
    <row r="1631" spans="36:36" ht="25" customHeight="1" x14ac:dyDescent="0.35">
      <c r="AJ1631" s="13" t="str" cm="1">
        <f t="array" ref="AJ1631">IF($C1631="","",IFERROR(TRANSPOSE(_xlfn._xlws.FILTER(Listy!$D$2:$D$60,Listy!$C$2:$C$60=$C1631)),""))</f>
        <v/>
      </c>
    </row>
    <row r="1632" spans="36:36" ht="25" customHeight="1" x14ac:dyDescent="0.35">
      <c r="AJ1632" s="13" t="str" cm="1">
        <f t="array" ref="AJ1632">IF($C1632="","",IFERROR(TRANSPOSE(_xlfn._xlws.FILTER(Listy!$D$2:$D$60,Listy!$C$2:$C$60=$C1632)),""))</f>
        <v/>
      </c>
    </row>
    <row r="1633" spans="36:36" ht="25" customHeight="1" x14ac:dyDescent="0.35">
      <c r="AJ1633" s="13" t="str" cm="1">
        <f t="array" ref="AJ1633">IF($C1633="","",IFERROR(TRANSPOSE(_xlfn._xlws.FILTER(Listy!$D$2:$D$60,Listy!$C$2:$C$60=$C1633)),""))</f>
        <v/>
      </c>
    </row>
    <row r="1634" spans="36:36" ht="25" customHeight="1" x14ac:dyDescent="0.35">
      <c r="AJ1634" s="13" t="str" cm="1">
        <f t="array" ref="AJ1634">IF($C1634="","",IFERROR(TRANSPOSE(_xlfn._xlws.FILTER(Listy!$D$2:$D$60,Listy!$C$2:$C$60=$C1634)),""))</f>
        <v/>
      </c>
    </row>
    <row r="1635" spans="36:36" ht="25" customHeight="1" x14ac:dyDescent="0.35">
      <c r="AJ1635" s="13" t="str" cm="1">
        <f t="array" ref="AJ1635">IF($C1635="","",IFERROR(TRANSPOSE(_xlfn._xlws.FILTER(Listy!$D$2:$D$60,Listy!$C$2:$C$60=$C1635)),""))</f>
        <v/>
      </c>
    </row>
    <row r="1636" spans="36:36" ht="25" customHeight="1" x14ac:dyDescent="0.35">
      <c r="AJ1636" s="13" t="str" cm="1">
        <f t="array" ref="AJ1636">IF($C1636="","",IFERROR(TRANSPOSE(_xlfn._xlws.FILTER(Listy!$D$2:$D$60,Listy!$C$2:$C$60=$C1636)),""))</f>
        <v/>
      </c>
    </row>
    <row r="1637" spans="36:36" ht="25" customHeight="1" x14ac:dyDescent="0.35">
      <c r="AJ1637" s="13" t="str" cm="1">
        <f t="array" ref="AJ1637">IF($C1637="","",IFERROR(TRANSPOSE(_xlfn._xlws.FILTER(Listy!$D$2:$D$60,Listy!$C$2:$C$60=$C1637)),""))</f>
        <v/>
      </c>
    </row>
    <row r="1638" spans="36:36" ht="25" customHeight="1" x14ac:dyDescent="0.35">
      <c r="AJ1638" s="13" t="str" cm="1">
        <f t="array" ref="AJ1638">IF($C1638="","",IFERROR(TRANSPOSE(_xlfn._xlws.FILTER(Listy!$D$2:$D$60,Listy!$C$2:$C$60=$C1638)),""))</f>
        <v/>
      </c>
    </row>
    <row r="1639" spans="36:36" ht="25" customHeight="1" x14ac:dyDescent="0.35">
      <c r="AJ1639" s="13" t="str" cm="1">
        <f t="array" ref="AJ1639">IF($C1639="","",IFERROR(TRANSPOSE(_xlfn._xlws.FILTER(Listy!$D$2:$D$60,Listy!$C$2:$C$60=$C1639)),""))</f>
        <v/>
      </c>
    </row>
    <row r="1640" spans="36:36" ht="25" customHeight="1" x14ac:dyDescent="0.35">
      <c r="AJ1640" s="13" t="str" cm="1">
        <f t="array" ref="AJ1640">IF($C1640="","",IFERROR(TRANSPOSE(_xlfn._xlws.FILTER(Listy!$D$2:$D$60,Listy!$C$2:$C$60=$C1640)),""))</f>
        <v/>
      </c>
    </row>
    <row r="1641" spans="36:36" ht="25" customHeight="1" x14ac:dyDescent="0.35">
      <c r="AJ1641" s="13" t="str" cm="1">
        <f t="array" ref="AJ1641">IF($C1641="","",IFERROR(TRANSPOSE(_xlfn._xlws.FILTER(Listy!$D$2:$D$60,Listy!$C$2:$C$60=$C1641)),""))</f>
        <v/>
      </c>
    </row>
    <row r="1642" spans="36:36" ht="25" customHeight="1" x14ac:dyDescent="0.35">
      <c r="AJ1642" s="13" t="str" cm="1">
        <f t="array" ref="AJ1642">IF($C1642="","",IFERROR(TRANSPOSE(_xlfn._xlws.FILTER(Listy!$D$2:$D$60,Listy!$C$2:$C$60=$C1642)),""))</f>
        <v/>
      </c>
    </row>
    <row r="1643" spans="36:36" ht="25" customHeight="1" x14ac:dyDescent="0.35">
      <c r="AJ1643" s="13" t="str" cm="1">
        <f t="array" ref="AJ1643">IF($C1643="","",IFERROR(TRANSPOSE(_xlfn._xlws.FILTER(Listy!$D$2:$D$60,Listy!$C$2:$C$60=$C1643)),""))</f>
        <v/>
      </c>
    </row>
    <row r="1644" spans="36:36" ht="25" customHeight="1" x14ac:dyDescent="0.35">
      <c r="AJ1644" s="13" t="str" cm="1">
        <f t="array" ref="AJ1644">IF($C1644="","",IFERROR(TRANSPOSE(_xlfn._xlws.FILTER(Listy!$D$2:$D$60,Listy!$C$2:$C$60=$C1644)),""))</f>
        <v/>
      </c>
    </row>
    <row r="1645" spans="36:36" ht="25" customHeight="1" x14ac:dyDescent="0.35">
      <c r="AJ1645" s="13" t="str" cm="1">
        <f t="array" ref="AJ1645">IF($C1645="","",IFERROR(TRANSPOSE(_xlfn._xlws.FILTER(Listy!$D$2:$D$60,Listy!$C$2:$C$60=$C1645)),""))</f>
        <v/>
      </c>
    </row>
    <row r="1646" spans="36:36" ht="25" customHeight="1" x14ac:dyDescent="0.35">
      <c r="AJ1646" s="13" t="str" cm="1">
        <f t="array" ref="AJ1646">IF($C1646="","",IFERROR(TRANSPOSE(_xlfn._xlws.FILTER(Listy!$D$2:$D$60,Listy!$C$2:$C$60=$C1646)),""))</f>
        <v/>
      </c>
    </row>
    <row r="1647" spans="36:36" ht="25" customHeight="1" x14ac:dyDescent="0.35">
      <c r="AJ1647" s="13" t="str" cm="1">
        <f t="array" ref="AJ1647">IF($C1647="","",IFERROR(TRANSPOSE(_xlfn._xlws.FILTER(Listy!$D$2:$D$60,Listy!$C$2:$C$60=$C1647)),""))</f>
        <v/>
      </c>
    </row>
    <row r="1648" spans="36:36" ht="25" customHeight="1" x14ac:dyDescent="0.35">
      <c r="AJ1648" s="13" t="str" cm="1">
        <f t="array" ref="AJ1648">IF($C1648="","",IFERROR(TRANSPOSE(_xlfn._xlws.FILTER(Listy!$D$2:$D$60,Listy!$C$2:$C$60=$C1648)),""))</f>
        <v/>
      </c>
    </row>
    <row r="1649" spans="36:36" ht="25" customHeight="1" x14ac:dyDescent="0.35">
      <c r="AJ1649" s="13" t="str" cm="1">
        <f t="array" ref="AJ1649">IF($C1649="","",IFERROR(TRANSPOSE(_xlfn._xlws.FILTER(Listy!$D$2:$D$60,Listy!$C$2:$C$60=$C1649)),""))</f>
        <v/>
      </c>
    </row>
    <row r="1650" spans="36:36" ht="25" customHeight="1" x14ac:dyDescent="0.35">
      <c r="AJ1650" s="13" t="str" cm="1">
        <f t="array" ref="AJ1650">IF($C1650="","",IFERROR(TRANSPOSE(_xlfn._xlws.FILTER(Listy!$D$2:$D$60,Listy!$C$2:$C$60=$C1650)),""))</f>
        <v/>
      </c>
    </row>
    <row r="1651" spans="36:36" ht="25" customHeight="1" x14ac:dyDescent="0.35">
      <c r="AJ1651" s="13" t="str" cm="1">
        <f t="array" ref="AJ1651">IF($C1651="","",IFERROR(TRANSPOSE(_xlfn._xlws.FILTER(Listy!$D$2:$D$60,Listy!$C$2:$C$60=$C1651)),""))</f>
        <v/>
      </c>
    </row>
    <row r="1652" spans="36:36" ht="25" customHeight="1" x14ac:dyDescent="0.35">
      <c r="AJ1652" s="13" t="str" cm="1">
        <f t="array" ref="AJ1652">IF($C1652="","",IFERROR(TRANSPOSE(_xlfn._xlws.FILTER(Listy!$D$2:$D$60,Listy!$C$2:$C$60=$C1652)),""))</f>
        <v/>
      </c>
    </row>
    <row r="1653" spans="36:36" ht="25" customHeight="1" x14ac:dyDescent="0.35">
      <c r="AJ1653" s="13" t="str" cm="1">
        <f t="array" ref="AJ1653">IF($C1653="","",IFERROR(TRANSPOSE(_xlfn._xlws.FILTER(Listy!$D$2:$D$60,Listy!$C$2:$C$60=$C1653)),""))</f>
        <v/>
      </c>
    </row>
    <row r="1654" spans="36:36" ht="25" customHeight="1" x14ac:dyDescent="0.35">
      <c r="AJ1654" s="13" t="str" cm="1">
        <f t="array" ref="AJ1654">IF($C1654="","",IFERROR(TRANSPOSE(_xlfn._xlws.FILTER(Listy!$D$2:$D$60,Listy!$C$2:$C$60=$C1654)),""))</f>
        <v/>
      </c>
    </row>
    <row r="1655" spans="36:36" ht="25" customHeight="1" x14ac:dyDescent="0.35">
      <c r="AJ1655" s="13" t="str" cm="1">
        <f t="array" ref="AJ1655">IF($C1655="","",IFERROR(TRANSPOSE(_xlfn._xlws.FILTER(Listy!$D$2:$D$60,Listy!$C$2:$C$60=$C1655)),""))</f>
        <v/>
      </c>
    </row>
    <row r="1656" spans="36:36" ht="25" customHeight="1" x14ac:dyDescent="0.35">
      <c r="AJ1656" s="13" t="str" cm="1">
        <f t="array" ref="AJ1656">IF($C1656="","",IFERROR(TRANSPOSE(_xlfn._xlws.FILTER(Listy!$D$2:$D$60,Listy!$C$2:$C$60=$C1656)),""))</f>
        <v/>
      </c>
    </row>
    <row r="1657" spans="36:36" ht="25" customHeight="1" x14ac:dyDescent="0.35">
      <c r="AJ1657" s="13" t="str" cm="1">
        <f t="array" ref="AJ1657">IF($C1657="","",IFERROR(TRANSPOSE(_xlfn._xlws.FILTER(Listy!$D$2:$D$60,Listy!$C$2:$C$60=$C1657)),""))</f>
        <v/>
      </c>
    </row>
    <row r="1658" spans="36:36" ht="25" customHeight="1" x14ac:dyDescent="0.35">
      <c r="AJ1658" s="13" t="str" cm="1">
        <f t="array" ref="AJ1658">IF($C1658="","",IFERROR(TRANSPOSE(_xlfn._xlws.FILTER(Listy!$D$2:$D$60,Listy!$C$2:$C$60=$C1658)),""))</f>
        <v/>
      </c>
    </row>
    <row r="1659" spans="36:36" ht="25" customHeight="1" x14ac:dyDescent="0.35">
      <c r="AJ1659" s="13" t="str" cm="1">
        <f t="array" ref="AJ1659">IF($C1659="","",IFERROR(TRANSPOSE(_xlfn._xlws.FILTER(Listy!$D$2:$D$60,Listy!$C$2:$C$60=$C1659)),""))</f>
        <v/>
      </c>
    </row>
    <row r="1660" spans="36:36" ht="25" customHeight="1" x14ac:dyDescent="0.35">
      <c r="AJ1660" s="13" t="str" cm="1">
        <f t="array" ref="AJ1660">IF($C1660="","",IFERROR(TRANSPOSE(_xlfn._xlws.FILTER(Listy!$D$2:$D$60,Listy!$C$2:$C$60=$C1660)),""))</f>
        <v/>
      </c>
    </row>
    <row r="1661" spans="36:36" ht="25" customHeight="1" x14ac:dyDescent="0.35">
      <c r="AJ1661" s="13" t="str" cm="1">
        <f t="array" ref="AJ1661">IF($C1661="","",IFERROR(TRANSPOSE(_xlfn._xlws.FILTER(Listy!$D$2:$D$60,Listy!$C$2:$C$60=$C1661)),""))</f>
        <v/>
      </c>
    </row>
    <row r="1662" spans="36:36" ht="25" customHeight="1" x14ac:dyDescent="0.35">
      <c r="AJ1662" s="13" t="str" cm="1">
        <f t="array" ref="AJ1662">IF($C1662="","",IFERROR(TRANSPOSE(_xlfn._xlws.FILTER(Listy!$D$2:$D$60,Listy!$C$2:$C$60=$C1662)),""))</f>
        <v/>
      </c>
    </row>
    <row r="1663" spans="36:36" ht="25" customHeight="1" x14ac:dyDescent="0.35">
      <c r="AJ1663" s="13" t="str" cm="1">
        <f t="array" ref="AJ1663">IF($C1663="","",IFERROR(TRANSPOSE(_xlfn._xlws.FILTER(Listy!$D$2:$D$60,Listy!$C$2:$C$60=$C1663)),""))</f>
        <v/>
      </c>
    </row>
    <row r="1664" spans="36:36" ht="25" customHeight="1" x14ac:dyDescent="0.35">
      <c r="AJ1664" s="13" t="str" cm="1">
        <f t="array" ref="AJ1664">IF($C1664="","",IFERROR(TRANSPOSE(_xlfn._xlws.FILTER(Listy!$D$2:$D$60,Listy!$C$2:$C$60=$C1664)),""))</f>
        <v/>
      </c>
    </row>
    <row r="1665" spans="36:36" ht="25" customHeight="1" x14ac:dyDescent="0.35">
      <c r="AJ1665" s="13" t="str" cm="1">
        <f t="array" ref="AJ1665">IF($C1665="","",IFERROR(TRANSPOSE(_xlfn._xlws.FILTER(Listy!$D$2:$D$60,Listy!$C$2:$C$60=$C1665)),""))</f>
        <v/>
      </c>
    </row>
    <row r="1666" spans="36:36" ht="25" customHeight="1" x14ac:dyDescent="0.35">
      <c r="AJ1666" s="13" t="str" cm="1">
        <f t="array" ref="AJ1666">IF($C1666="","",IFERROR(TRANSPOSE(_xlfn._xlws.FILTER(Listy!$D$2:$D$60,Listy!$C$2:$C$60=$C1666)),""))</f>
        <v/>
      </c>
    </row>
    <row r="1667" spans="36:36" ht="25" customHeight="1" x14ac:dyDescent="0.35">
      <c r="AJ1667" s="13" t="str" cm="1">
        <f t="array" ref="AJ1667">IF($C1667="","",IFERROR(TRANSPOSE(_xlfn._xlws.FILTER(Listy!$D$2:$D$60,Listy!$C$2:$C$60=$C1667)),""))</f>
        <v/>
      </c>
    </row>
    <row r="1668" spans="36:36" ht="25" customHeight="1" x14ac:dyDescent="0.35">
      <c r="AJ1668" s="13" t="str" cm="1">
        <f t="array" ref="AJ1668">IF($C1668="","",IFERROR(TRANSPOSE(_xlfn._xlws.FILTER(Listy!$D$2:$D$60,Listy!$C$2:$C$60=$C1668)),""))</f>
        <v/>
      </c>
    </row>
    <row r="1669" spans="36:36" ht="25" customHeight="1" x14ac:dyDescent="0.35">
      <c r="AJ1669" s="13" t="str" cm="1">
        <f t="array" ref="AJ1669">IF($C1669="","",IFERROR(TRANSPOSE(_xlfn._xlws.FILTER(Listy!$D$2:$D$60,Listy!$C$2:$C$60=$C1669)),""))</f>
        <v/>
      </c>
    </row>
    <row r="1670" spans="36:36" ht="25" customHeight="1" x14ac:dyDescent="0.35">
      <c r="AJ1670" s="13" t="str" cm="1">
        <f t="array" ref="AJ1670">IF($C1670="","",IFERROR(TRANSPOSE(_xlfn._xlws.FILTER(Listy!$D$2:$D$60,Listy!$C$2:$C$60=$C1670)),""))</f>
        <v/>
      </c>
    </row>
    <row r="1671" spans="36:36" ht="25" customHeight="1" x14ac:dyDescent="0.35">
      <c r="AJ1671" s="13" t="str" cm="1">
        <f t="array" ref="AJ1671">IF($C1671="","",IFERROR(TRANSPOSE(_xlfn._xlws.FILTER(Listy!$D$2:$D$60,Listy!$C$2:$C$60=$C1671)),""))</f>
        <v/>
      </c>
    </row>
    <row r="1672" spans="36:36" ht="25" customHeight="1" x14ac:dyDescent="0.35">
      <c r="AJ1672" s="13" t="str" cm="1">
        <f t="array" ref="AJ1672">IF($C1672="","",IFERROR(TRANSPOSE(_xlfn._xlws.FILTER(Listy!$D$2:$D$60,Listy!$C$2:$C$60=$C1672)),""))</f>
        <v/>
      </c>
    </row>
    <row r="1673" spans="36:36" ht="25" customHeight="1" x14ac:dyDescent="0.35">
      <c r="AJ1673" s="13" t="str" cm="1">
        <f t="array" ref="AJ1673">IF($C1673="","",IFERROR(TRANSPOSE(_xlfn._xlws.FILTER(Listy!$D$2:$D$60,Listy!$C$2:$C$60=$C1673)),""))</f>
        <v/>
      </c>
    </row>
    <row r="1674" spans="36:36" ht="25" customHeight="1" x14ac:dyDescent="0.35">
      <c r="AJ1674" s="13" t="str" cm="1">
        <f t="array" ref="AJ1674">IF($C1674="","",IFERROR(TRANSPOSE(_xlfn._xlws.FILTER(Listy!$D$2:$D$60,Listy!$C$2:$C$60=$C1674)),""))</f>
        <v/>
      </c>
    </row>
    <row r="1675" spans="36:36" ht="25" customHeight="1" x14ac:dyDescent="0.35">
      <c r="AJ1675" s="13" t="str" cm="1">
        <f t="array" ref="AJ1675">IF($C1675="","",IFERROR(TRANSPOSE(_xlfn._xlws.FILTER(Listy!$D$2:$D$60,Listy!$C$2:$C$60=$C1675)),""))</f>
        <v/>
      </c>
    </row>
    <row r="1676" spans="36:36" ht="25" customHeight="1" x14ac:dyDescent="0.35">
      <c r="AJ1676" s="13" t="str" cm="1">
        <f t="array" ref="AJ1676">IF($C1676="","",IFERROR(TRANSPOSE(_xlfn._xlws.FILTER(Listy!$D$2:$D$60,Listy!$C$2:$C$60=$C1676)),""))</f>
        <v/>
      </c>
    </row>
    <row r="1677" spans="36:36" ht="25" customHeight="1" x14ac:dyDescent="0.35">
      <c r="AJ1677" s="13" t="str" cm="1">
        <f t="array" ref="AJ1677">IF($C1677="","",IFERROR(TRANSPOSE(_xlfn._xlws.FILTER(Listy!$D$2:$D$60,Listy!$C$2:$C$60=$C1677)),""))</f>
        <v/>
      </c>
    </row>
    <row r="1678" spans="36:36" ht="25" customHeight="1" x14ac:dyDescent="0.35">
      <c r="AJ1678" s="13" t="str" cm="1">
        <f t="array" ref="AJ1678">IF($C1678="","",IFERROR(TRANSPOSE(_xlfn._xlws.FILTER(Listy!$D$2:$D$60,Listy!$C$2:$C$60=$C1678)),""))</f>
        <v/>
      </c>
    </row>
    <row r="1679" spans="36:36" ht="25" customHeight="1" x14ac:dyDescent="0.35">
      <c r="AJ1679" s="13" t="str" cm="1">
        <f t="array" ref="AJ1679">IF($C1679="","",IFERROR(TRANSPOSE(_xlfn._xlws.FILTER(Listy!$D$2:$D$60,Listy!$C$2:$C$60=$C1679)),""))</f>
        <v/>
      </c>
    </row>
    <row r="1680" spans="36:36" ht="25" customHeight="1" x14ac:dyDescent="0.35">
      <c r="AJ1680" s="13" t="str" cm="1">
        <f t="array" ref="AJ1680">IF($C1680="","",IFERROR(TRANSPOSE(_xlfn._xlws.FILTER(Listy!$D$2:$D$60,Listy!$C$2:$C$60=$C1680)),""))</f>
        <v/>
      </c>
    </row>
    <row r="1681" spans="36:36" ht="25" customHeight="1" x14ac:dyDescent="0.35">
      <c r="AJ1681" s="13" t="str" cm="1">
        <f t="array" ref="AJ1681">IF($C1681="","",IFERROR(TRANSPOSE(_xlfn._xlws.FILTER(Listy!$D$2:$D$60,Listy!$C$2:$C$60=$C1681)),""))</f>
        <v/>
      </c>
    </row>
    <row r="1682" spans="36:36" ht="25" customHeight="1" x14ac:dyDescent="0.35">
      <c r="AJ1682" s="13" t="str" cm="1">
        <f t="array" ref="AJ1682">IF($C1682="","",IFERROR(TRANSPOSE(_xlfn._xlws.FILTER(Listy!$D$2:$D$60,Listy!$C$2:$C$60=$C1682)),""))</f>
        <v/>
      </c>
    </row>
    <row r="1683" spans="36:36" ht="25" customHeight="1" x14ac:dyDescent="0.35">
      <c r="AJ1683" s="13" t="str" cm="1">
        <f t="array" ref="AJ1683">IF($C1683="","",IFERROR(TRANSPOSE(_xlfn._xlws.FILTER(Listy!$D$2:$D$60,Listy!$C$2:$C$60=$C1683)),""))</f>
        <v/>
      </c>
    </row>
    <row r="1684" spans="36:36" ht="25" customHeight="1" x14ac:dyDescent="0.35">
      <c r="AJ1684" s="13" t="str" cm="1">
        <f t="array" ref="AJ1684">IF($C1684="","",IFERROR(TRANSPOSE(_xlfn._xlws.FILTER(Listy!$D$2:$D$60,Listy!$C$2:$C$60=$C1684)),""))</f>
        <v/>
      </c>
    </row>
    <row r="1685" spans="36:36" ht="25" customHeight="1" x14ac:dyDescent="0.35">
      <c r="AJ1685" s="13" t="str" cm="1">
        <f t="array" ref="AJ1685">IF($C1685="","",IFERROR(TRANSPOSE(_xlfn._xlws.FILTER(Listy!$D$2:$D$60,Listy!$C$2:$C$60=$C1685)),""))</f>
        <v/>
      </c>
    </row>
    <row r="1686" spans="36:36" ht="25" customHeight="1" x14ac:dyDescent="0.35">
      <c r="AJ1686" s="13" t="str" cm="1">
        <f t="array" ref="AJ1686">IF($C1686="","",IFERROR(TRANSPOSE(_xlfn._xlws.FILTER(Listy!$D$2:$D$60,Listy!$C$2:$C$60=$C1686)),""))</f>
        <v/>
      </c>
    </row>
    <row r="1687" spans="36:36" ht="25" customHeight="1" x14ac:dyDescent="0.35">
      <c r="AJ1687" s="13" t="str" cm="1">
        <f t="array" ref="AJ1687">IF($C1687="","",IFERROR(TRANSPOSE(_xlfn._xlws.FILTER(Listy!$D$2:$D$60,Listy!$C$2:$C$60=$C1687)),""))</f>
        <v/>
      </c>
    </row>
    <row r="1688" spans="36:36" ht="25" customHeight="1" x14ac:dyDescent="0.35">
      <c r="AJ1688" s="13" t="str" cm="1">
        <f t="array" ref="AJ1688">IF($C1688="","",IFERROR(TRANSPOSE(_xlfn._xlws.FILTER(Listy!$D$2:$D$60,Listy!$C$2:$C$60=$C1688)),""))</f>
        <v/>
      </c>
    </row>
    <row r="1689" spans="36:36" ht="25" customHeight="1" x14ac:dyDescent="0.35">
      <c r="AJ1689" s="13" t="str" cm="1">
        <f t="array" ref="AJ1689">IF($C1689="","",IFERROR(TRANSPOSE(_xlfn._xlws.FILTER(Listy!$D$2:$D$60,Listy!$C$2:$C$60=$C1689)),""))</f>
        <v/>
      </c>
    </row>
    <row r="1690" spans="36:36" ht="25" customHeight="1" x14ac:dyDescent="0.35">
      <c r="AJ1690" s="13" t="str" cm="1">
        <f t="array" ref="AJ1690">IF($C1690="","",IFERROR(TRANSPOSE(_xlfn._xlws.FILTER(Listy!$D$2:$D$60,Listy!$C$2:$C$60=$C1690)),""))</f>
        <v/>
      </c>
    </row>
    <row r="1691" spans="36:36" ht="25" customHeight="1" x14ac:dyDescent="0.35">
      <c r="AJ1691" s="13" t="str" cm="1">
        <f t="array" ref="AJ1691">IF($C1691="","",IFERROR(TRANSPOSE(_xlfn._xlws.FILTER(Listy!$D$2:$D$60,Listy!$C$2:$C$60=$C1691)),""))</f>
        <v/>
      </c>
    </row>
    <row r="1692" spans="36:36" ht="25" customHeight="1" x14ac:dyDescent="0.35">
      <c r="AJ1692" s="13" t="str" cm="1">
        <f t="array" ref="AJ1692">IF($C1692="","",IFERROR(TRANSPOSE(_xlfn._xlws.FILTER(Listy!$D$2:$D$60,Listy!$C$2:$C$60=$C1692)),""))</f>
        <v/>
      </c>
    </row>
    <row r="1693" spans="36:36" ht="25" customHeight="1" x14ac:dyDescent="0.35">
      <c r="AJ1693" s="13" t="str" cm="1">
        <f t="array" ref="AJ1693">IF($C1693="","",IFERROR(TRANSPOSE(_xlfn._xlws.FILTER(Listy!$D$2:$D$60,Listy!$C$2:$C$60=$C1693)),""))</f>
        <v/>
      </c>
    </row>
    <row r="1694" spans="36:36" ht="25" customHeight="1" x14ac:dyDescent="0.35">
      <c r="AJ1694" s="13" t="str" cm="1">
        <f t="array" ref="AJ1694">IF($C1694="","",IFERROR(TRANSPOSE(_xlfn._xlws.FILTER(Listy!$D$2:$D$60,Listy!$C$2:$C$60=$C1694)),""))</f>
        <v/>
      </c>
    </row>
    <row r="1695" spans="36:36" ht="25" customHeight="1" x14ac:dyDescent="0.35">
      <c r="AJ1695" s="13" t="str" cm="1">
        <f t="array" ref="AJ1695">IF($C1695="","",IFERROR(TRANSPOSE(_xlfn._xlws.FILTER(Listy!$D$2:$D$60,Listy!$C$2:$C$60=$C1695)),""))</f>
        <v/>
      </c>
    </row>
    <row r="1696" spans="36:36" ht="25" customHeight="1" x14ac:dyDescent="0.35">
      <c r="AJ1696" s="13" t="str" cm="1">
        <f t="array" ref="AJ1696">IF($C1696="","",IFERROR(TRANSPOSE(_xlfn._xlws.FILTER(Listy!$D$2:$D$60,Listy!$C$2:$C$60=$C1696)),""))</f>
        <v/>
      </c>
    </row>
    <row r="1697" spans="36:36" ht="25" customHeight="1" x14ac:dyDescent="0.35">
      <c r="AJ1697" s="13" t="str" cm="1">
        <f t="array" ref="AJ1697">IF($C1697="","",IFERROR(TRANSPOSE(_xlfn._xlws.FILTER(Listy!$D$2:$D$60,Listy!$C$2:$C$60=$C1697)),""))</f>
        <v/>
      </c>
    </row>
    <row r="1698" spans="36:36" ht="25" customHeight="1" x14ac:dyDescent="0.35">
      <c r="AJ1698" s="13" t="str" cm="1">
        <f t="array" ref="AJ1698">IF($C1698="","",IFERROR(TRANSPOSE(_xlfn._xlws.FILTER(Listy!$D$2:$D$60,Listy!$C$2:$C$60=$C1698)),""))</f>
        <v/>
      </c>
    </row>
    <row r="1699" spans="36:36" ht="25" customHeight="1" x14ac:dyDescent="0.35">
      <c r="AJ1699" s="13" t="str" cm="1">
        <f t="array" ref="AJ1699">IF($C1699="","",IFERROR(TRANSPOSE(_xlfn._xlws.FILTER(Listy!$D$2:$D$60,Listy!$C$2:$C$60=$C1699)),""))</f>
        <v/>
      </c>
    </row>
    <row r="1700" spans="36:36" ht="25" customHeight="1" x14ac:dyDescent="0.35">
      <c r="AJ1700" s="13" t="str" cm="1">
        <f t="array" ref="AJ1700">IF($C1700="","",IFERROR(TRANSPOSE(_xlfn._xlws.FILTER(Listy!$D$2:$D$60,Listy!$C$2:$C$60=$C1700)),""))</f>
        <v/>
      </c>
    </row>
    <row r="1701" spans="36:36" ht="25" customHeight="1" x14ac:dyDescent="0.35">
      <c r="AJ1701" s="13" t="str" cm="1">
        <f t="array" ref="AJ1701">IF($C1701="","",IFERROR(TRANSPOSE(_xlfn._xlws.FILTER(Listy!$D$2:$D$60,Listy!$C$2:$C$60=$C1701)),""))</f>
        <v/>
      </c>
    </row>
    <row r="1702" spans="36:36" ht="25" customHeight="1" x14ac:dyDescent="0.35">
      <c r="AJ1702" s="13" t="str" cm="1">
        <f t="array" ref="AJ1702">IF($C1702="","",IFERROR(TRANSPOSE(_xlfn._xlws.FILTER(Listy!$D$2:$D$60,Listy!$C$2:$C$60=$C1702)),""))</f>
        <v/>
      </c>
    </row>
    <row r="1703" spans="36:36" ht="25" customHeight="1" x14ac:dyDescent="0.35">
      <c r="AJ1703" s="13" t="str" cm="1">
        <f t="array" ref="AJ1703">IF($C1703="","",IFERROR(TRANSPOSE(_xlfn._xlws.FILTER(Listy!$D$2:$D$60,Listy!$C$2:$C$60=$C1703)),""))</f>
        <v/>
      </c>
    </row>
    <row r="1704" spans="36:36" ht="25" customHeight="1" x14ac:dyDescent="0.35">
      <c r="AJ1704" s="13" t="str" cm="1">
        <f t="array" ref="AJ1704">IF($C1704="","",IFERROR(TRANSPOSE(_xlfn._xlws.FILTER(Listy!$D$2:$D$60,Listy!$C$2:$C$60=$C1704)),""))</f>
        <v/>
      </c>
    </row>
    <row r="1705" spans="36:36" ht="25" customHeight="1" x14ac:dyDescent="0.35">
      <c r="AJ1705" s="13" t="str" cm="1">
        <f t="array" ref="AJ1705">IF($C1705="","",IFERROR(TRANSPOSE(_xlfn._xlws.FILTER(Listy!$D$2:$D$60,Listy!$C$2:$C$60=$C1705)),""))</f>
        <v/>
      </c>
    </row>
    <row r="1706" spans="36:36" ht="25" customHeight="1" x14ac:dyDescent="0.35">
      <c r="AJ1706" s="13" t="str" cm="1">
        <f t="array" ref="AJ1706">IF($C1706="","",IFERROR(TRANSPOSE(_xlfn._xlws.FILTER(Listy!$D$2:$D$60,Listy!$C$2:$C$60=$C1706)),""))</f>
        <v/>
      </c>
    </row>
    <row r="1707" spans="36:36" ht="25" customHeight="1" x14ac:dyDescent="0.35">
      <c r="AJ1707" s="13" t="str" cm="1">
        <f t="array" ref="AJ1707">IF($C1707="","",IFERROR(TRANSPOSE(_xlfn._xlws.FILTER(Listy!$D$2:$D$60,Listy!$C$2:$C$60=$C1707)),""))</f>
        <v/>
      </c>
    </row>
    <row r="1708" spans="36:36" ht="25" customHeight="1" x14ac:dyDescent="0.35">
      <c r="AJ1708" s="13" t="str" cm="1">
        <f t="array" ref="AJ1708">IF($C1708="","",IFERROR(TRANSPOSE(_xlfn._xlws.FILTER(Listy!$D$2:$D$60,Listy!$C$2:$C$60=$C1708)),""))</f>
        <v/>
      </c>
    </row>
    <row r="1709" spans="36:36" ht="25" customHeight="1" x14ac:dyDescent="0.35">
      <c r="AJ1709" s="13" t="str" cm="1">
        <f t="array" ref="AJ1709">IF($C1709="","",IFERROR(TRANSPOSE(_xlfn._xlws.FILTER(Listy!$D$2:$D$60,Listy!$C$2:$C$60=$C1709)),""))</f>
        <v/>
      </c>
    </row>
    <row r="1710" spans="36:36" ht="25" customHeight="1" x14ac:dyDescent="0.35">
      <c r="AJ1710" s="13" t="str" cm="1">
        <f t="array" ref="AJ1710">IF($C1710="","",IFERROR(TRANSPOSE(_xlfn._xlws.FILTER(Listy!$D$2:$D$60,Listy!$C$2:$C$60=$C1710)),""))</f>
        <v/>
      </c>
    </row>
    <row r="1711" spans="36:36" ht="25" customHeight="1" x14ac:dyDescent="0.35">
      <c r="AJ1711" s="13" t="str" cm="1">
        <f t="array" ref="AJ1711">IF($C1711="","",IFERROR(TRANSPOSE(_xlfn._xlws.FILTER(Listy!$D$2:$D$60,Listy!$C$2:$C$60=$C1711)),""))</f>
        <v/>
      </c>
    </row>
    <row r="1712" spans="36:36" ht="25" customHeight="1" x14ac:dyDescent="0.35">
      <c r="AJ1712" s="13" t="str" cm="1">
        <f t="array" ref="AJ1712">IF($C1712="","",IFERROR(TRANSPOSE(_xlfn._xlws.FILTER(Listy!$D$2:$D$60,Listy!$C$2:$C$60=$C1712)),""))</f>
        <v/>
      </c>
    </row>
    <row r="1713" spans="36:36" ht="25" customHeight="1" x14ac:dyDescent="0.35">
      <c r="AJ1713" s="13" t="str" cm="1">
        <f t="array" ref="AJ1713">IF($C1713="","",IFERROR(TRANSPOSE(_xlfn._xlws.FILTER(Listy!$D$2:$D$60,Listy!$C$2:$C$60=$C1713)),""))</f>
        <v/>
      </c>
    </row>
    <row r="1714" spans="36:36" ht="25" customHeight="1" x14ac:dyDescent="0.35">
      <c r="AJ1714" s="13" t="str" cm="1">
        <f t="array" ref="AJ1714">IF($C1714="","",IFERROR(TRANSPOSE(_xlfn._xlws.FILTER(Listy!$D$2:$D$60,Listy!$C$2:$C$60=$C1714)),""))</f>
        <v/>
      </c>
    </row>
    <row r="1715" spans="36:36" ht="25" customHeight="1" x14ac:dyDescent="0.35">
      <c r="AJ1715" s="13" t="str" cm="1">
        <f t="array" ref="AJ1715">IF($C1715="","",IFERROR(TRANSPOSE(_xlfn._xlws.FILTER(Listy!$D$2:$D$60,Listy!$C$2:$C$60=$C1715)),""))</f>
        <v/>
      </c>
    </row>
    <row r="1716" spans="36:36" ht="25" customHeight="1" x14ac:dyDescent="0.35">
      <c r="AJ1716" s="13" t="str" cm="1">
        <f t="array" ref="AJ1716">IF($C1716="","",IFERROR(TRANSPOSE(_xlfn._xlws.FILTER(Listy!$D$2:$D$60,Listy!$C$2:$C$60=$C1716)),""))</f>
        <v/>
      </c>
    </row>
    <row r="1717" spans="36:36" ht="25" customHeight="1" x14ac:dyDescent="0.35">
      <c r="AJ1717" s="13" t="str" cm="1">
        <f t="array" ref="AJ1717">IF($C1717="","",IFERROR(TRANSPOSE(_xlfn._xlws.FILTER(Listy!$D$2:$D$60,Listy!$C$2:$C$60=$C1717)),""))</f>
        <v/>
      </c>
    </row>
    <row r="1718" spans="36:36" ht="25" customHeight="1" x14ac:dyDescent="0.35">
      <c r="AJ1718" s="13" t="str" cm="1">
        <f t="array" ref="AJ1718">IF($C1718="","",IFERROR(TRANSPOSE(_xlfn._xlws.FILTER(Listy!$D$2:$D$60,Listy!$C$2:$C$60=$C1718)),""))</f>
        <v/>
      </c>
    </row>
    <row r="1719" spans="36:36" ht="25" customHeight="1" x14ac:dyDescent="0.35">
      <c r="AJ1719" s="13" t="str" cm="1">
        <f t="array" ref="AJ1719">IF($C1719="","",IFERROR(TRANSPOSE(_xlfn._xlws.FILTER(Listy!$D$2:$D$60,Listy!$C$2:$C$60=$C1719)),""))</f>
        <v/>
      </c>
    </row>
    <row r="1720" spans="36:36" ht="25" customHeight="1" x14ac:dyDescent="0.35">
      <c r="AJ1720" s="13" t="str" cm="1">
        <f t="array" ref="AJ1720">IF($C1720="","",IFERROR(TRANSPOSE(_xlfn._xlws.FILTER(Listy!$D$2:$D$60,Listy!$C$2:$C$60=$C1720)),""))</f>
        <v/>
      </c>
    </row>
    <row r="1721" spans="36:36" ht="25" customHeight="1" x14ac:dyDescent="0.35">
      <c r="AJ1721" s="13" t="str" cm="1">
        <f t="array" ref="AJ1721">IF($C1721="","",IFERROR(TRANSPOSE(_xlfn._xlws.FILTER(Listy!$D$2:$D$60,Listy!$C$2:$C$60=$C1721)),""))</f>
        <v/>
      </c>
    </row>
    <row r="1722" spans="36:36" ht="25" customHeight="1" x14ac:dyDescent="0.35">
      <c r="AJ1722" s="13" t="str" cm="1">
        <f t="array" ref="AJ1722">IF($C1722="","",IFERROR(TRANSPOSE(_xlfn._xlws.FILTER(Listy!$D$2:$D$60,Listy!$C$2:$C$60=$C1722)),""))</f>
        <v/>
      </c>
    </row>
    <row r="1723" spans="36:36" ht="25" customHeight="1" x14ac:dyDescent="0.35">
      <c r="AJ1723" s="13" t="str" cm="1">
        <f t="array" ref="AJ1723">IF($C1723="","",IFERROR(TRANSPOSE(_xlfn._xlws.FILTER(Listy!$D$2:$D$60,Listy!$C$2:$C$60=$C1723)),""))</f>
        <v/>
      </c>
    </row>
    <row r="1724" spans="36:36" ht="25" customHeight="1" x14ac:dyDescent="0.35">
      <c r="AJ1724" s="13" t="str" cm="1">
        <f t="array" ref="AJ1724">IF($C1724="","",IFERROR(TRANSPOSE(_xlfn._xlws.FILTER(Listy!$D$2:$D$60,Listy!$C$2:$C$60=$C1724)),""))</f>
        <v/>
      </c>
    </row>
    <row r="1725" spans="36:36" ht="25" customHeight="1" x14ac:dyDescent="0.35">
      <c r="AJ1725" s="13" t="str" cm="1">
        <f t="array" ref="AJ1725">IF($C1725="","",IFERROR(TRANSPOSE(_xlfn._xlws.FILTER(Listy!$D$2:$D$60,Listy!$C$2:$C$60=$C1725)),""))</f>
        <v/>
      </c>
    </row>
    <row r="1726" spans="36:36" ht="25" customHeight="1" x14ac:dyDescent="0.35">
      <c r="AJ1726" s="13" t="str" cm="1">
        <f t="array" ref="AJ1726">IF($C1726="","",IFERROR(TRANSPOSE(_xlfn._xlws.FILTER(Listy!$D$2:$D$60,Listy!$C$2:$C$60=$C1726)),""))</f>
        <v/>
      </c>
    </row>
    <row r="1727" spans="36:36" ht="25" customHeight="1" x14ac:dyDescent="0.35">
      <c r="AJ1727" s="13" t="str" cm="1">
        <f t="array" ref="AJ1727">IF($C1727="","",IFERROR(TRANSPOSE(_xlfn._xlws.FILTER(Listy!$D$2:$D$60,Listy!$C$2:$C$60=$C1727)),""))</f>
        <v/>
      </c>
    </row>
    <row r="1728" spans="36:36" ht="25" customHeight="1" x14ac:dyDescent="0.35">
      <c r="AJ1728" s="13" t="str" cm="1">
        <f t="array" ref="AJ1728">IF($C1728="","",IFERROR(TRANSPOSE(_xlfn._xlws.FILTER(Listy!$D$2:$D$60,Listy!$C$2:$C$60=$C1728)),""))</f>
        <v/>
      </c>
    </row>
    <row r="1729" spans="36:36" ht="25" customHeight="1" x14ac:dyDescent="0.35">
      <c r="AJ1729" s="13" t="str" cm="1">
        <f t="array" ref="AJ1729">IF($C1729="","",IFERROR(TRANSPOSE(_xlfn._xlws.FILTER(Listy!$D$2:$D$60,Listy!$C$2:$C$60=$C1729)),""))</f>
        <v/>
      </c>
    </row>
    <row r="1730" spans="36:36" ht="25" customHeight="1" x14ac:dyDescent="0.35">
      <c r="AJ1730" s="13" t="str" cm="1">
        <f t="array" ref="AJ1730">IF($C1730="","",IFERROR(TRANSPOSE(_xlfn._xlws.FILTER(Listy!$D$2:$D$60,Listy!$C$2:$C$60=$C1730)),""))</f>
        <v/>
      </c>
    </row>
    <row r="1731" spans="36:36" ht="25" customHeight="1" x14ac:dyDescent="0.35">
      <c r="AJ1731" s="13" t="str" cm="1">
        <f t="array" ref="AJ1731">IF($C1731="","",IFERROR(TRANSPOSE(_xlfn._xlws.FILTER(Listy!$D$2:$D$60,Listy!$C$2:$C$60=$C1731)),""))</f>
        <v/>
      </c>
    </row>
    <row r="1732" spans="36:36" ht="25" customHeight="1" x14ac:dyDescent="0.35">
      <c r="AJ1732" s="13" t="str" cm="1">
        <f t="array" ref="AJ1732">IF($C1732="","",IFERROR(TRANSPOSE(_xlfn._xlws.FILTER(Listy!$D$2:$D$60,Listy!$C$2:$C$60=$C1732)),""))</f>
        <v/>
      </c>
    </row>
    <row r="1733" spans="36:36" ht="25" customHeight="1" x14ac:dyDescent="0.35">
      <c r="AJ1733" s="13" t="str" cm="1">
        <f t="array" ref="AJ1733">IF($C1733="","",IFERROR(TRANSPOSE(_xlfn._xlws.FILTER(Listy!$D$2:$D$60,Listy!$C$2:$C$60=$C1733)),""))</f>
        <v/>
      </c>
    </row>
    <row r="1734" spans="36:36" ht="25" customHeight="1" x14ac:dyDescent="0.35">
      <c r="AJ1734" s="13" t="str" cm="1">
        <f t="array" ref="AJ1734">IF($C1734="","",IFERROR(TRANSPOSE(_xlfn._xlws.FILTER(Listy!$D$2:$D$60,Listy!$C$2:$C$60=$C1734)),""))</f>
        <v/>
      </c>
    </row>
    <row r="1735" spans="36:36" ht="25" customHeight="1" x14ac:dyDescent="0.35">
      <c r="AJ1735" s="13" t="str" cm="1">
        <f t="array" ref="AJ1735">IF($C1735="","",IFERROR(TRANSPOSE(_xlfn._xlws.FILTER(Listy!$D$2:$D$60,Listy!$C$2:$C$60=$C1735)),""))</f>
        <v/>
      </c>
    </row>
    <row r="1736" spans="36:36" ht="25" customHeight="1" x14ac:dyDescent="0.35">
      <c r="AJ1736" s="13" t="str" cm="1">
        <f t="array" ref="AJ1736">IF($C1736="","",IFERROR(TRANSPOSE(_xlfn._xlws.FILTER(Listy!$D$2:$D$60,Listy!$C$2:$C$60=$C1736)),""))</f>
        <v/>
      </c>
    </row>
    <row r="1737" spans="36:36" ht="25" customHeight="1" x14ac:dyDescent="0.35">
      <c r="AJ1737" s="13" t="str" cm="1">
        <f t="array" ref="AJ1737">IF($C1737="","",IFERROR(TRANSPOSE(_xlfn._xlws.FILTER(Listy!$D$2:$D$60,Listy!$C$2:$C$60=$C1737)),""))</f>
        <v/>
      </c>
    </row>
    <row r="1738" spans="36:36" ht="25" customHeight="1" x14ac:dyDescent="0.35">
      <c r="AJ1738" s="13" t="str" cm="1">
        <f t="array" ref="AJ1738">IF($C1738="","",IFERROR(TRANSPOSE(_xlfn._xlws.FILTER(Listy!$D$2:$D$60,Listy!$C$2:$C$60=$C1738)),""))</f>
        <v/>
      </c>
    </row>
    <row r="1739" spans="36:36" ht="25" customHeight="1" x14ac:dyDescent="0.35">
      <c r="AJ1739" s="13" t="str" cm="1">
        <f t="array" ref="AJ1739">IF($C1739="","",IFERROR(TRANSPOSE(_xlfn._xlws.FILTER(Listy!$D$2:$D$60,Listy!$C$2:$C$60=$C1739)),""))</f>
        <v/>
      </c>
    </row>
    <row r="1740" spans="36:36" ht="25" customHeight="1" x14ac:dyDescent="0.35">
      <c r="AJ1740" s="13" t="str" cm="1">
        <f t="array" ref="AJ1740">IF($C1740="","",IFERROR(TRANSPOSE(_xlfn._xlws.FILTER(Listy!$D$2:$D$60,Listy!$C$2:$C$60=$C1740)),""))</f>
        <v/>
      </c>
    </row>
    <row r="1741" spans="36:36" ht="25" customHeight="1" x14ac:dyDescent="0.35">
      <c r="AJ1741" s="13" t="str" cm="1">
        <f t="array" ref="AJ1741">IF($C1741="","",IFERROR(TRANSPOSE(_xlfn._xlws.FILTER(Listy!$D$2:$D$60,Listy!$C$2:$C$60=$C1741)),""))</f>
        <v/>
      </c>
    </row>
    <row r="1742" spans="36:36" ht="25" customHeight="1" x14ac:dyDescent="0.35">
      <c r="AJ1742" s="13" t="str" cm="1">
        <f t="array" ref="AJ1742">IF($C1742="","",IFERROR(TRANSPOSE(_xlfn._xlws.FILTER(Listy!$D$2:$D$60,Listy!$C$2:$C$60=$C1742)),""))</f>
        <v/>
      </c>
    </row>
    <row r="1743" spans="36:36" ht="25" customHeight="1" x14ac:dyDescent="0.35">
      <c r="AJ1743" s="13" t="str" cm="1">
        <f t="array" ref="AJ1743">IF($C1743="","",IFERROR(TRANSPOSE(_xlfn._xlws.FILTER(Listy!$D$2:$D$60,Listy!$C$2:$C$60=$C1743)),""))</f>
        <v/>
      </c>
    </row>
    <row r="1744" spans="36:36" ht="25" customHeight="1" x14ac:dyDescent="0.35">
      <c r="AJ1744" s="13" t="str" cm="1">
        <f t="array" ref="AJ1744">IF($C1744="","",IFERROR(TRANSPOSE(_xlfn._xlws.FILTER(Listy!$D$2:$D$60,Listy!$C$2:$C$60=$C1744)),""))</f>
        <v/>
      </c>
    </row>
    <row r="1745" spans="36:36" ht="25" customHeight="1" x14ac:dyDescent="0.35">
      <c r="AJ1745" s="13" t="str" cm="1">
        <f t="array" ref="AJ1745">IF($C1745="","",IFERROR(TRANSPOSE(_xlfn._xlws.FILTER(Listy!$D$2:$D$60,Listy!$C$2:$C$60=$C1745)),""))</f>
        <v/>
      </c>
    </row>
    <row r="1746" spans="36:36" ht="25" customHeight="1" x14ac:dyDescent="0.35">
      <c r="AJ1746" s="13" t="str" cm="1">
        <f t="array" ref="AJ1746">IF($C1746="","",IFERROR(TRANSPOSE(_xlfn._xlws.FILTER(Listy!$D$2:$D$60,Listy!$C$2:$C$60=$C1746)),""))</f>
        <v/>
      </c>
    </row>
    <row r="1747" spans="36:36" ht="25" customHeight="1" x14ac:dyDescent="0.35">
      <c r="AJ1747" s="13" t="str" cm="1">
        <f t="array" ref="AJ1747">IF($C1747="","",IFERROR(TRANSPOSE(_xlfn._xlws.FILTER(Listy!$D$2:$D$60,Listy!$C$2:$C$60=$C1747)),""))</f>
        <v/>
      </c>
    </row>
    <row r="1748" spans="36:36" ht="25" customHeight="1" x14ac:dyDescent="0.35">
      <c r="AJ1748" s="13" t="str" cm="1">
        <f t="array" ref="AJ1748">IF($C1748="","",IFERROR(TRANSPOSE(_xlfn._xlws.FILTER(Listy!$D$2:$D$60,Listy!$C$2:$C$60=$C1748)),""))</f>
        <v/>
      </c>
    </row>
    <row r="1749" spans="36:36" ht="25" customHeight="1" x14ac:dyDescent="0.35">
      <c r="AJ1749" s="13" t="str" cm="1">
        <f t="array" ref="AJ1749">IF($C1749="","",IFERROR(TRANSPOSE(_xlfn._xlws.FILTER(Listy!$D$2:$D$60,Listy!$C$2:$C$60=$C1749)),""))</f>
        <v/>
      </c>
    </row>
    <row r="1750" spans="36:36" ht="25" customHeight="1" x14ac:dyDescent="0.35">
      <c r="AJ1750" s="13" t="str" cm="1">
        <f t="array" ref="AJ1750">IF($C1750="","",IFERROR(TRANSPOSE(_xlfn._xlws.FILTER(Listy!$D$2:$D$60,Listy!$C$2:$C$60=$C1750)),""))</f>
        <v/>
      </c>
    </row>
    <row r="1751" spans="36:36" ht="25" customHeight="1" x14ac:dyDescent="0.35">
      <c r="AJ1751" s="13" t="str" cm="1">
        <f t="array" ref="AJ1751">IF($C1751="","",IFERROR(TRANSPOSE(_xlfn._xlws.FILTER(Listy!$D$2:$D$60,Listy!$C$2:$C$60=$C1751)),""))</f>
        <v/>
      </c>
    </row>
    <row r="1752" spans="36:36" ht="25" customHeight="1" x14ac:dyDescent="0.35">
      <c r="AJ1752" s="13" t="str" cm="1">
        <f t="array" ref="AJ1752">IF($C1752="","",IFERROR(TRANSPOSE(_xlfn._xlws.FILTER(Listy!$D$2:$D$60,Listy!$C$2:$C$60=$C1752)),""))</f>
        <v/>
      </c>
    </row>
    <row r="1753" spans="36:36" ht="25" customHeight="1" x14ac:dyDescent="0.35">
      <c r="AJ1753" s="13" t="str" cm="1">
        <f t="array" ref="AJ1753">IF($C1753="","",IFERROR(TRANSPOSE(_xlfn._xlws.FILTER(Listy!$D$2:$D$60,Listy!$C$2:$C$60=$C1753)),""))</f>
        <v/>
      </c>
    </row>
    <row r="1754" spans="36:36" ht="25" customHeight="1" x14ac:dyDescent="0.35">
      <c r="AJ1754" s="13" t="str" cm="1">
        <f t="array" ref="AJ1754">IF($C1754="","",IFERROR(TRANSPOSE(_xlfn._xlws.FILTER(Listy!$D$2:$D$60,Listy!$C$2:$C$60=$C1754)),""))</f>
        <v/>
      </c>
    </row>
    <row r="1755" spans="36:36" ht="25" customHeight="1" x14ac:dyDescent="0.35">
      <c r="AJ1755" s="13" t="str" cm="1">
        <f t="array" ref="AJ1755">IF($C1755="","",IFERROR(TRANSPOSE(_xlfn._xlws.FILTER(Listy!$D$2:$D$60,Listy!$C$2:$C$60=$C1755)),""))</f>
        <v/>
      </c>
    </row>
    <row r="1756" spans="36:36" ht="25" customHeight="1" x14ac:dyDescent="0.35">
      <c r="AJ1756" s="13" t="str" cm="1">
        <f t="array" ref="AJ1756">IF($C1756="","",IFERROR(TRANSPOSE(_xlfn._xlws.FILTER(Listy!$D$2:$D$60,Listy!$C$2:$C$60=$C1756)),""))</f>
        <v/>
      </c>
    </row>
    <row r="1757" spans="36:36" ht="25" customHeight="1" x14ac:dyDescent="0.35">
      <c r="AJ1757" s="13" t="str" cm="1">
        <f t="array" ref="AJ1757">IF($C1757="","",IFERROR(TRANSPOSE(_xlfn._xlws.FILTER(Listy!$D$2:$D$60,Listy!$C$2:$C$60=$C1757)),""))</f>
        <v/>
      </c>
    </row>
    <row r="1758" spans="36:36" ht="25" customHeight="1" x14ac:dyDescent="0.35">
      <c r="AJ1758" s="13" t="str" cm="1">
        <f t="array" ref="AJ1758">IF($C1758="","",IFERROR(TRANSPOSE(_xlfn._xlws.FILTER(Listy!$D$2:$D$60,Listy!$C$2:$C$60=$C1758)),""))</f>
        <v/>
      </c>
    </row>
    <row r="1759" spans="36:36" ht="25" customHeight="1" x14ac:dyDescent="0.35">
      <c r="AJ1759" s="13" t="str" cm="1">
        <f t="array" ref="AJ1759">IF($C1759="","",IFERROR(TRANSPOSE(_xlfn._xlws.FILTER(Listy!$D$2:$D$60,Listy!$C$2:$C$60=$C1759)),""))</f>
        <v/>
      </c>
    </row>
    <row r="1760" spans="36:36" ht="25" customHeight="1" x14ac:dyDescent="0.35">
      <c r="AJ1760" s="13" t="str" cm="1">
        <f t="array" ref="AJ1760">IF($C1760="","",IFERROR(TRANSPOSE(_xlfn._xlws.FILTER(Listy!$D$2:$D$60,Listy!$C$2:$C$60=$C1760)),""))</f>
        <v/>
      </c>
    </row>
    <row r="1761" spans="36:36" ht="25" customHeight="1" x14ac:dyDescent="0.35">
      <c r="AJ1761" s="13" t="str" cm="1">
        <f t="array" ref="AJ1761">IF($C1761="","",IFERROR(TRANSPOSE(_xlfn._xlws.FILTER(Listy!$D$2:$D$60,Listy!$C$2:$C$60=$C1761)),""))</f>
        <v/>
      </c>
    </row>
    <row r="1762" spans="36:36" ht="25" customHeight="1" x14ac:dyDescent="0.35">
      <c r="AJ1762" s="13" t="str" cm="1">
        <f t="array" ref="AJ1762">IF($C1762="","",IFERROR(TRANSPOSE(_xlfn._xlws.FILTER(Listy!$D$2:$D$60,Listy!$C$2:$C$60=$C1762)),""))</f>
        <v/>
      </c>
    </row>
    <row r="1763" spans="36:36" ht="25" customHeight="1" x14ac:dyDescent="0.35">
      <c r="AJ1763" s="13" t="str" cm="1">
        <f t="array" ref="AJ1763">IF($C1763="","",IFERROR(TRANSPOSE(_xlfn._xlws.FILTER(Listy!$D$2:$D$60,Listy!$C$2:$C$60=$C1763)),""))</f>
        <v/>
      </c>
    </row>
    <row r="1764" spans="36:36" ht="25" customHeight="1" x14ac:dyDescent="0.35">
      <c r="AJ1764" s="13" t="str" cm="1">
        <f t="array" ref="AJ1764">IF($C1764="","",IFERROR(TRANSPOSE(_xlfn._xlws.FILTER(Listy!$D$2:$D$60,Listy!$C$2:$C$60=$C1764)),""))</f>
        <v/>
      </c>
    </row>
    <row r="1765" spans="36:36" ht="25" customHeight="1" x14ac:dyDescent="0.35">
      <c r="AJ1765" s="13" t="str" cm="1">
        <f t="array" ref="AJ1765">IF($C1765="","",IFERROR(TRANSPOSE(_xlfn._xlws.FILTER(Listy!$D$2:$D$60,Listy!$C$2:$C$60=$C1765)),""))</f>
        <v/>
      </c>
    </row>
    <row r="1766" spans="36:36" ht="25" customHeight="1" x14ac:dyDescent="0.35">
      <c r="AJ1766" s="13" t="str" cm="1">
        <f t="array" ref="AJ1766">IF($C1766="","",IFERROR(TRANSPOSE(_xlfn._xlws.FILTER(Listy!$D$2:$D$60,Listy!$C$2:$C$60=$C1766)),""))</f>
        <v/>
      </c>
    </row>
    <row r="1767" spans="36:36" ht="25" customHeight="1" x14ac:dyDescent="0.35">
      <c r="AJ1767" s="13" t="str" cm="1">
        <f t="array" ref="AJ1767">IF($C1767="","",IFERROR(TRANSPOSE(_xlfn._xlws.FILTER(Listy!$D$2:$D$60,Listy!$C$2:$C$60=$C1767)),""))</f>
        <v/>
      </c>
    </row>
    <row r="1768" spans="36:36" ht="25" customHeight="1" x14ac:dyDescent="0.35">
      <c r="AJ1768" s="13" t="str" cm="1">
        <f t="array" ref="AJ1768">IF($C1768="","",IFERROR(TRANSPOSE(_xlfn._xlws.FILTER(Listy!$D$2:$D$60,Listy!$C$2:$C$60=$C1768)),""))</f>
        <v/>
      </c>
    </row>
    <row r="1769" spans="36:36" ht="25" customHeight="1" x14ac:dyDescent="0.35">
      <c r="AJ1769" s="13" t="str" cm="1">
        <f t="array" ref="AJ1769">IF($C1769="","",IFERROR(TRANSPOSE(_xlfn._xlws.FILTER(Listy!$D$2:$D$60,Listy!$C$2:$C$60=$C1769)),""))</f>
        <v/>
      </c>
    </row>
    <row r="1770" spans="36:36" ht="25" customHeight="1" x14ac:dyDescent="0.35">
      <c r="AJ1770" s="13" t="str" cm="1">
        <f t="array" ref="AJ1770">IF($C1770="","",IFERROR(TRANSPOSE(_xlfn._xlws.FILTER(Listy!$D$2:$D$60,Listy!$C$2:$C$60=$C1770)),""))</f>
        <v/>
      </c>
    </row>
    <row r="1771" spans="36:36" ht="25" customHeight="1" x14ac:dyDescent="0.35">
      <c r="AJ1771" s="13" t="str" cm="1">
        <f t="array" ref="AJ1771">IF($C1771="","",IFERROR(TRANSPOSE(_xlfn._xlws.FILTER(Listy!$D$2:$D$60,Listy!$C$2:$C$60=$C1771)),""))</f>
        <v/>
      </c>
    </row>
    <row r="1772" spans="36:36" ht="25" customHeight="1" x14ac:dyDescent="0.35">
      <c r="AJ1772" s="13" t="str" cm="1">
        <f t="array" ref="AJ1772">IF($C1772="","",IFERROR(TRANSPOSE(_xlfn._xlws.FILTER(Listy!$D$2:$D$60,Listy!$C$2:$C$60=$C1772)),""))</f>
        <v/>
      </c>
    </row>
    <row r="1773" spans="36:36" ht="25" customHeight="1" x14ac:dyDescent="0.35">
      <c r="AJ1773" s="13" t="str" cm="1">
        <f t="array" ref="AJ1773">IF($C1773="","",IFERROR(TRANSPOSE(_xlfn._xlws.FILTER(Listy!$D$2:$D$60,Listy!$C$2:$C$60=$C1773)),""))</f>
        <v/>
      </c>
    </row>
    <row r="1774" spans="36:36" ht="25" customHeight="1" x14ac:dyDescent="0.35">
      <c r="AJ1774" s="13" t="str" cm="1">
        <f t="array" ref="AJ1774">IF($C1774="","",IFERROR(TRANSPOSE(_xlfn._xlws.FILTER(Listy!$D$2:$D$60,Listy!$C$2:$C$60=$C1774)),""))</f>
        <v/>
      </c>
    </row>
    <row r="1775" spans="36:36" ht="25" customHeight="1" x14ac:dyDescent="0.35">
      <c r="AJ1775" s="13" t="str" cm="1">
        <f t="array" ref="AJ1775">IF($C1775="","",IFERROR(TRANSPOSE(_xlfn._xlws.FILTER(Listy!$D$2:$D$60,Listy!$C$2:$C$60=$C1775)),""))</f>
        <v/>
      </c>
    </row>
    <row r="1776" spans="36:36" ht="25" customHeight="1" x14ac:dyDescent="0.35">
      <c r="AJ1776" s="13" t="str" cm="1">
        <f t="array" ref="AJ1776">IF($C1776="","",IFERROR(TRANSPOSE(_xlfn._xlws.FILTER(Listy!$D$2:$D$60,Listy!$C$2:$C$60=$C1776)),""))</f>
        <v/>
      </c>
    </row>
    <row r="1777" spans="36:36" ht="25" customHeight="1" x14ac:dyDescent="0.35">
      <c r="AJ1777" s="13" t="str" cm="1">
        <f t="array" ref="AJ1777">IF($C1777="","",IFERROR(TRANSPOSE(_xlfn._xlws.FILTER(Listy!$D$2:$D$60,Listy!$C$2:$C$60=$C1777)),""))</f>
        <v/>
      </c>
    </row>
    <row r="1778" spans="36:36" ht="25" customHeight="1" x14ac:dyDescent="0.35">
      <c r="AJ1778" s="13" t="str" cm="1">
        <f t="array" ref="AJ1778">IF($C1778="","",IFERROR(TRANSPOSE(_xlfn._xlws.FILTER(Listy!$D$2:$D$60,Listy!$C$2:$C$60=$C1778)),""))</f>
        <v/>
      </c>
    </row>
    <row r="1779" spans="36:36" ht="25" customHeight="1" x14ac:dyDescent="0.35">
      <c r="AJ1779" s="13" t="str" cm="1">
        <f t="array" ref="AJ1779">IF($C1779="","",IFERROR(TRANSPOSE(_xlfn._xlws.FILTER(Listy!$D$2:$D$60,Listy!$C$2:$C$60=$C1779)),""))</f>
        <v/>
      </c>
    </row>
    <row r="1780" spans="36:36" ht="25" customHeight="1" x14ac:dyDescent="0.35">
      <c r="AJ1780" s="13" t="str" cm="1">
        <f t="array" ref="AJ1780">IF($C1780="","",IFERROR(TRANSPOSE(_xlfn._xlws.FILTER(Listy!$D$2:$D$60,Listy!$C$2:$C$60=$C1780)),""))</f>
        <v/>
      </c>
    </row>
    <row r="1781" spans="36:36" ht="25" customHeight="1" x14ac:dyDescent="0.35">
      <c r="AJ1781" s="13" t="str" cm="1">
        <f t="array" ref="AJ1781">IF($C1781="","",IFERROR(TRANSPOSE(_xlfn._xlws.FILTER(Listy!$D$2:$D$60,Listy!$C$2:$C$60=$C1781)),""))</f>
        <v/>
      </c>
    </row>
    <row r="1782" spans="36:36" ht="25" customHeight="1" x14ac:dyDescent="0.35">
      <c r="AJ1782" s="13" t="str" cm="1">
        <f t="array" ref="AJ1782">IF($C1782="","",IFERROR(TRANSPOSE(_xlfn._xlws.FILTER(Listy!$D$2:$D$60,Listy!$C$2:$C$60=$C1782)),""))</f>
        <v/>
      </c>
    </row>
    <row r="1783" spans="36:36" ht="25" customHeight="1" x14ac:dyDescent="0.35">
      <c r="AJ1783" s="13" t="str" cm="1">
        <f t="array" ref="AJ1783">IF($C1783="","",IFERROR(TRANSPOSE(_xlfn._xlws.FILTER(Listy!$D$2:$D$60,Listy!$C$2:$C$60=$C1783)),""))</f>
        <v/>
      </c>
    </row>
    <row r="1784" spans="36:36" ht="25" customHeight="1" x14ac:dyDescent="0.35">
      <c r="AJ1784" s="13" t="str" cm="1">
        <f t="array" ref="AJ1784">IF($C1784="","",IFERROR(TRANSPOSE(_xlfn._xlws.FILTER(Listy!$D$2:$D$60,Listy!$C$2:$C$60=$C1784)),""))</f>
        <v/>
      </c>
    </row>
    <row r="1785" spans="36:36" ht="25" customHeight="1" x14ac:dyDescent="0.35">
      <c r="AJ1785" s="13" t="str" cm="1">
        <f t="array" ref="AJ1785">IF($C1785="","",IFERROR(TRANSPOSE(_xlfn._xlws.FILTER(Listy!$D$2:$D$60,Listy!$C$2:$C$60=$C1785)),""))</f>
        <v/>
      </c>
    </row>
    <row r="1786" spans="36:36" ht="25" customHeight="1" x14ac:dyDescent="0.35">
      <c r="AJ1786" s="13" t="str" cm="1">
        <f t="array" ref="AJ1786">IF($C1786="","",IFERROR(TRANSPOSE(_xlfn._xlws.FILTER(Listy!$D$2:$D$60,Listy!$C$2:$C$60=$C1786)),""))</f>
        <v/>
      </c>
    </row>
    <row r="1787" spans="36:36" ht="25" customHeight="1" x14ac:dyDescent="0.35">
      <c r="AJ1787" s="13" t="str" cm="1">
        <f t="array" ref="AJ1787">IF($C1787="","",IFERROR(TRANSPOSE(_xlfn._xlws.FILTER(Listy!$D$2:$D$60,Listy!$C$2:$C$60=$C1787)),""))</f>
        <v/>
      </c>
    </row>
    <row r="1788" spans="36:36" ht="25" customHeight="1" x14ac:dyDescent="0.35">
      <c r="AJ1788" s="13" t="str" cm="1">
        <f t="array" ref="AJ1788">IF($C1788="","",IFERROR(TRANSPOSE(_xlfn._xlws.FILTER(Listy!$D$2:$D$60,Listy!$C$2:$C$60=$C1788)),""))</f>
        <v/>
      </c>
    </row>
    <row r="1789" spans="36:36" ht="25" customHeight="1" x14ac:dyDescent="0.35">
      <c r="AJ1789" s="13" t="str" cm="1">
        <f t="array" ref="AJ1789">IF($C1789="","",IFERROR(TRANSPOSE(_xlfn._xlws.FILTER(Listy!$D$2:$D$60,Listy!$C$2:$C$60=$C1789)),""))</f>
        <v/>
      </c>
    </row>
    <row r="1790" spans="36:36" ht="25" customHeight="1" x14ac:dyDescent="0.35">
      <c r="AJ1790" s="13" t="str" cm="1">
        <f t="array" ref="AJ1790">IF($C1790="","",IFERROR(TRANSPOSE(_xlfn._xlws.FILTER(Listy!$D$2:$D$60,Listy!$C$2:$C$60=$C1790)),""))</f>
        <v/>
      </c>
    </row>
    <row r="1791" spans="36:36" ht="25" customHeight="1" x14ac:dyDescent="0.35">
      <c r="AJ1791" s="13" t="str" cm="1">
        <f t="array" ref="AJ1791">IF($C1791="","",IFERROR(TRANSPOSE(_xlfn._xlws.FILTER(Listy!$D$2:$D$60,Listy!$C$2:$C$60=$C1791)),""))</f>
        <v/>
      </c>
    </row>
    <row r="1792" spans="36:36" ht="25" customHeight="1" x14ac:dyDescent="0.35">
      <c r="AJ1792" s="13" t="str" cm="1">
        <f t="array" ref="AJ1792">IF($C1792="","",IFERROR(TRANSPOSE(_xlfn._xlws.FILTER(Listy!$D$2:$D$60,Listy!$C$2:$C$60=$C1792)),""))</f>
        <v/>
      </c>
    </row>
    <row r="1793" spans="36:36" ht="25" customHeight="1" x14ac:dyDescent="0.35">
      <c r="AJ1793" s="13" t="str" cm="1">
        <f t="array" ref="AJ1793">IF($C1793="","",IFERROR(TRANSPOSE(_xlfn._xlws.FILTER(Listy!$D$2:$D$60,Listy!$C$2:$C$60=$C1793)),""))</f>
        <v/>
      </c>
    </row>
    <row r="1794" spans="36:36" ht="25" customHeight="1" x14ac:dyDescent="0.35">
      <c r="AJ1794" s="13" t="str" cm="1">
        <f t="array" ref="AJ1794">IF($C1794="","",IFERROR(TRANSPOSE(_xlfn._xlws.FILTER(Listy!$D$2:$D$60,Listy!$C$2:$C$60=$C1794)),""))</f>
        <v/>
      </c>
    </row>
    <row r="1795" spans="36:36" ht="25" customHeight="1" x14ac:dyDescent="0.35">
      <c r="AJ1795" s="13" t="str" cm="1">
        <f t="array" ref="AJ1795">IF($C1795="","",IFERROR(TRANSPOSE(_xlfn._xlws.FILTER(Listy!$D$2:$D$60,Listy!$C$2:$C$60=$C1795)),""))</f>
        <v/>
      </c>
    </row>
    <row r="1796" spans="36:36" ht="25" customHeight="1" x14ac:dyDescent="0.35">
      <c r="AJ1796" s="13" t="str" cm="1">
        <f t="array" ref="AJ1796">IF($C1796="","",IFERROR(TRANSPOSE(_xlfn._xlws.FILTER(Listy!$D$2:$D$60,Listy!$C$2:$C$60=$C1796)),""))</f>
        <v/>
      </c>
    </row>
    <row r="1797" spans="36:36" ht="25" customHeight="1" x14ac:dyDescent="0.35">
      <c r="AJ1797" s="13" t="str" cm="1">
        <f t="array" ref="AJ1797">IF($C1797="","",IFERROR(TRANSPOSE(_xlfn._xlws.FILTER(Listy!$D$2:$D$60,Listy!$C$2:$C$60=$C1797)),""))</f>
        <v/>
      </c>
    </row>
    <row r="1798" spans="36:36" ht="25" customHeight="1" x14ac:dyDescent="0.35">
      <c r="AJ1798" s="13" t="str" cm="1">
        <f t="array" ref="AJ1798">IF($C1798="","",IFERROR(TRANSPOSE(_xlfn._xlws.FILTER(Listy!$D$2:$D$60,Listy!$C$2:$C$60=$C1798)),""))</f>
        <v/>
      </c>
    </row>
    <row r="1799" spans="36:36" ht="25" customHeight="1" x14ac:dyDescent="0.35">
      <c r="AJ1799" s="13" t="str" cm="1">
        <f t="array" ref="AJ1799">IF($C1799="","",IFERROR(TRANSPOSE(_xlfn._xlws.FILTER(Listy!$D$2:$D$60,Listy!$C$2:$C$60=$C1799)),""))</f>
        <v/>
      </c>
    </row>
    <row r="1800" spans="36:36" ht="25" customHeight="1" x14ac:dyDescent="0.35">
      <c r="AJ1800" s="13" t="str" cm="1">
        <f t="array" ref="AJ1800">IF($C1800="","",IFERROR(TRANSPOSE(_xlfn._xlws.FILTER(Listy!$D$2:$D$60,Listy!$C$2:$C$60=$C1800)),""))</f>
        <v/>
      </c>
    </row>
    <row r="1801" spans="36:36" ht="25" customHeight="1" x14ac:dyDescent="0.35">
      <c r="AJ1801" s="13" t="str" cm="1">
        <f t="array" ref="AJ1801">IF($C1801="","",IFERROR(TRANSPOSE(_xlfn._xlws.FILTER(Listy!$D$2:$D$60,Listy!$C$2:$C$60=$C1801)),""))</f>
        <v/>
      </c>
    </row>
    <row r="1802" spans="36:36" ht="25" customHeight="1" x14ac:dyDescent="0.35">
      <c r="AJ1802" s="13" t="str" cm="1">
        <f t="array" ref="AJ1802">IF($C1802="","",IFERROR(TRANSPOSE(_xlfn._xlws.FILTER(Listy!$D$2:$D$60,Listy!$C$2:$C$60=$C1802)),""))</f>
        <v/>
      </c>
    </row>
    <row r="1803" spans="36:36" ht="25" customHeight="1" x14ac:dyDescent="0.35">
      <c r="AJ1803" s="13" t="str" cm="1">
        <f t="array" ref="AJ1803">IF($C1803="","",IFERROR(TRANSPOSE(_xlfn._xlws.FILTER(Listy!$D$2:$D$60,Listy!$C$2:$C$60=$C1803)),""))</f>
        <v/>
      </c>
    </row>
    <row r="1804" spans="36:36" ht="25" customHeight="1" x14ac:dyDescent="0.35">
      <c r="AJ1804" s="13" t="str" cm="1">
        <f t="array" ref="AJ1804">IF($C1804="","",IFERROR(TRANSPOSE(_xlfn._xlws.FILTER(Listy!$D$2:$D$60,Listy!$C$2:$C$60=$C1804)),""))</f>
        <v/>
      </c>
    </row>
    <row r="1805" spans="36:36" ht="25" customHeight="1" x14ac:dyDescent="0.35">
      <c r="AJ1805" s="13" t="str" cm="1">
        <f t="array" ref="AJ1805">IF($C1805="","",IFERROR(TRANSPOSE(_xlfn._xlws.FILTER(Listy!$D$2:$D$60,Listy!$C$2:$C$60=$C1805)),""))</f>
        <v/>
      </c>
    </row>
    <row r="1806" spans="36:36" ht="25" customHeight="1" x14ac:dyDescent="0.35">
      <c r="AJ1806" s="13" t="str" cm="1">
        <f t="array" ref="AJ1806">IF($C1806="","",IFERROR(TRANSPOSE(_xlfn._xlws.FILTER(Listy!$D$2:$D$60,Listy!$C$2:$C$60=$C1806)),""))</f>
        <v/>
      </c>
    </row>
    <row r="1807" spans="36:36" ht="25" customHeight="1" x14ac:dyDescent="0.35">
      <c r="AJ1807" s="13" t="str" cm="1">
        <f t="array" ref="AJ1807">IF($C1807="","",IFERROR(TRANSPOSE(_xlfn._xlws.FILTER(Listy!$D$2:$D$60,Listy!$C$2:$C$60=$C1807)),""))</f>
        <v/>
      </c>
    </row>
    <row r="1808" spans="36:36" ht="25" customHeight="1" x14ac:dyDescent="0.35">
      <c r="AJ1808" s="13" t="str" cm="1">
        <f t="array" ref="AJ1808">IF($C1808="","",IFERROR(TRANSPOSE(_xlfn._xlws.FILTER(Listy!$D$2:$D$60,Listy!$C$2:$C$60=$C1808)),""))</f>
        <v/>
      </c>
    </row>
    <row r="1809" spans="36:36" ht="25" customHeight="1" x14ac:dyDescent="0.35">
      <c r="AJ1809" s="13" t="str" cm="1">
        <f t="array" ref="AJ1809">IF($C1809="","",IFERROR(TRANSPOSE(_xlfn._xlws.FILTER(Listy!$D$2:$D$60,Listy!$C$2:$C$60=$C1809)),""))</f>
        <v/>
      </c>
    </row>
    <row r="1810" spans="36:36" ht="25" customHeight="1" x14ac:dyDescent="0.35">
      <c r="AJ1810" s="13" t="str" cm="1">
        <f t="array" ref="AJ1810">IF($C1810="","",IFERROR(TRANSPOSE(_xlfn._xlws.FILTER(Listy!$D$2:$D$60,Listy!$C$2:$C$60=$C1810)),""))</f>
        <v/>
      </c>
    </row>
    <row r="1811" spans="36:36" ht="25" customHeight="1" x14ac:dyDescent="0.35">
      <c r="AJ1811" s="13" t="str" cm="1">
        <f t="array" ref="AJ1811">IF($C1811="","",IFERROR(TRANSPOSE(_xlfn._xlws.FILTER(Listy!$D$2:$D$60,Listy!$C$2:$C$60=$C1811)),""))</f>
        <v/>
      </c>
    </row>
    <row r="1812" spans="36:36" ht="25" customHeight="1" x14ac:dyDescent="0.35">
      <c r="AJ1812" s="13" t="str" cm="1">
        <f t="array" ref="AJ1812">IF($C1812="","",IFERROR(TRANSPOSE(_xlfn._xlws.FILTER(Listy!$D$2:$D$60,Listy!$C$2:$C$60=$C1812)),""))</f>
        <v/>
      </c>
    </row>
    <row r="1813" spans="36:36" ht="25" customHeight="1" x14ac:dyDescent="0.35">
      <c r="AJ1813" s="13" t="str" cm="1">
        <f t="array" ref="AJ1813">IF($C1813="","",IFERROR(TRANSPOSE(_xlfn._xlws.FILTER(Listy!$D$2:$D$60,Listy!$C$2:$C$60=$C1813)),""))</f>
        <v/>
      </c>
    </row>
    <row r="1814" spans="36:36" ht="25" customHeight="1" x14ac:dyDescent="0.35">
      <c r="AJ1814" s="13" t="str" cm="1">
        <f t="array" ref="AJ1814">IF($C1814="","",IFERROR(TRANSPOSE(_xlfn._xlws.FILTER(Listy!$D$2:$D$60,Listy!$C$2:$C$60=$C1814)),""))</f>
        <v/>
      </c>
    </row>
    <row r="1815" spans="36:36" ht="25" customHeight="1" x14ac:dyDescent="0.35">
      <c r="AJ1815" s="13" t="str" cm="1">
        <f t="array" ref="AJ1815">IF($C1815="","",IFERROR(TRANSPOSE(_xlfn._xlws.FILTER(Listy!$D$2:$D$60,Listy!$C$2:$C$60=$C1815)),""))</f>
        <v/>
      </c>
    </row>
    <row r="1816" spans="36:36" ht="25" customHeight="1" x14ac:dyDescent="0.35">
      <c r="AJ1816" s="13" t="str" cm="1">
        <f t="array" ref="AJ1816">IF($C1816="","",IFERROR(TRANSPOSE(_xlfn._xlws.FILTER(Listy!$D$2:$D$60,Listy!$C$2:$C$60=$C1816)),""))</f>
        <v/>
      </c>
    </row>
    <row r="1817" spans="36:36" ht="25" customHeight="1" x14ac:dyDescent="0.35">
      <c r="AJ1817" s="13" t="str" cm="1">
        <f t="array" ref="AJ1817">IF($C1817="","",IFERROR(TRANSPOSE(_xlfn._xlws.FILTER(Listy!$D$2:$D$60,Listy!$C$2:$C$60=$C1817)),""))</f>
        <v/>
      </c>
    </row>
    <row r="1818" spans="36:36" ht="25" customHeight="1" x14ac:dyDescent="0.35">
      <c r="AJ1818" s="13" t="str" cm="1">
        <f t="array" ref="AJ1818">IF($C1818="","",IFERROR(TRANSPOSE(_xlfn._xlws.FILTER(Listy!$D$2:$D$60,Listy!$C$2:$C$60=$C1818)),""))</f>
        <v/>
      </c>
    </row>
    <row r="1819" spans="36:36" ht="25" customHeight="1" x14ac:dyDescent="0.35">
      <c r="AJ1819" s="13" t="str" cm="1">
        <f t="array" ref="AJ1819">IF($C1819="","",IFERROR(TRANSPOSE(_xlfn._xlws.FILTER(Listy!$D$2:$D$60,Listy!$C$2:$C$60=$C1819)),""))</f>
        <v/>
      </c>
    </row>
    <row r="1820" spans="36:36" ht="25" customHeight="1" x14ac:dyDescent="0.35">
      <c r="AJ1820" s="13" t="str" cm="1">
        <f t="array" ref="AJ1820">IF($C1820="","",IFERROR(TRANSPOSE(_xlfn._xlws.FILTER(Listy!$D$2:$D$60,Listy!$C$2:$C$60=$C1820)),""))</f>
        <v/>
      </c>
    </row>
    <row r="1821" spans="36:36" ht="25" customHeight="1" x14ac:dyDescent="0.35">
      <c r="AJ1821" s="13" t="str" cm="1">
        <f t="array" ref="AJ1821">IF($C1821="","",IFERROR(TRANSPOSE(_xlfn._xlws.FILTER(Listy!$D$2:$D$60,Listy!$C$2:$C$60=$C1821)),""))</f>
        <v/>
      </c>
    </row>
    <row r="1822" spans="36:36" ht="25" customHeight="1" x14ac:dyDescent="0.35">
      <c r="AJ1822" s="13" t="str" cm="1">
        <f t="array" ref="AJ1822">IF($C1822="","",IFERROR(TRANSPOSE(_xlfn._xlws.FILTER(Listy!$D$2:$D$60,Listy!$C$2:$C$60=$C1822)),""))</f>
        <v/>
      </c>
    </row>
    <row r="1823" spans="36:36" ht="25" customHeight="1" x14ac:dyDescent="0.35">
      <c r="AJ1823" s="13" t="str" cm="1">
        <f t="array" ref="AJ1823">IF($C1823="","",IFERROR(TRANSPOSE(_xlfn._xlws.FILTER(Listy!$D$2:$D$60,Listy!$C$2:$C$60=$C1823)),""))</f>
        <v/>
      </c>
    </row>
    <row r="1824" spans="36:36" ht="25" customHeight="1" x14ac:dyDescent="0.35">
      <c r="AJ1824" s="13" t="str" cm="1">
        <f t="array" ref="AJ1824">IF($C1824="","",IFERROR(TRANSPOSE(_xlfn._xlws.FILTER(Listy!$D$2:$D$60,Listy!$C$2:$C$60=$C1824)),""))</f>
        <v/>
      </c>
    </row>
  </sheetData>
  <phoneticPr fontId="6" type="noConversion"/>
  <conditionalFormatting sqref="H2:H123 J2:J4 J6:J27 J37:J89 J106:J108">
    <cfRule type="expression" dxfId="4" priority="4">
      <formula>H2="BRAK PROTOKOŁU"</formula>
    </cfRule>
  </conditionalFormatting>
  <conditionalFormatting sqref="H2:H132">
    <cfRule type="expression" dxfId="3" priority="1">
      <formula>$H2="OK"</formula>
    </cfRule>
    <cfRule type="expression" dxfId="2" priority="2">
      <formula>$H2="DO WYKONANIA"</formula>
    </cfRule>
    <cfRule type="expression" dxfId="1" priority="3">
      <formula>$H2="PO TERMINIE"</formula>
    </cfRule>
  </conditionalFormatting>
  <conditionalFormatting sqref="J2:J4 H2:H123 J6:J27 J37:J89 J106:J108">
    <cfRule type="expression" dxfId="0" priority="5">
      <formula>H2="DODANY"</formula>
    </cfRule>
  </conditionalFormatting>
  <dataValidations count="3">
    <dataValidation type="list" allowBlank="1" showInputMessage="1" showErrorMessage="1" sqref="B2:B132" xr:uid="{32D98459-FCC3-4D7D-BB40-68DEBD81F51F}">
      <formula1>$M2:$AB2</formula1>
    </dataValidation>
    <dataValidation type="list" allowBlank="1" showInputMessage="1" showErrorMessage="1" sqref="C2:C132" xr:uid="{59788E71-A133-46DF-B539-EFBCE849FA0C}">
      <formula1>"Główny,Poboczny"</formula1>
    </dataValidation>
    <dataValidation type="list" allowBlank="1" showInputMessage="1" showErrorMessage="1" sqref="D2:D132" xr:uid="{8024DAAD-84F9-4BF4-A3FB-147CBBD34CB7}">
      <formula1>$AJ2:$BZ2</formula1>
    </dataValidation>
  </dataValidations>
  <pageMargins left="0.7" right="0.7" top="0.75" bottom="0.75" header="0.3" footer="0.3"/>
  <pageSetup paperSize="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B35FD2-75BE-4426-A470-AF6F4E935B9D}">
          <x14:formula1>
            <xm:f>_xlfn.ANCHORARRAY(Pomoc!$A$2)</xm:f>
          </x14:formula1>
          <xm:sqref>A2:A132</xm:sqref>
        </x14:dataValidation>
        <x14:dataValidation type="list" allowBlank="1" showInputMessage="1" showErrorMessage="1" xr:uid="{781A98E7-7050-4F36-B64A-26E3351172F2}">
          <x14:formula1>
            <xm:f>Listy!$A$2:$A$10</xm:f>
          </x14:formula1>
          <xm:sqref>F2:F132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Lokale</vt:lpstr>
      <vt:lpstr>Listy</vt:lpstr>
      <vt:lpstr>Pomoc</vt:lpstr>
      <vt:lpstr>Drabiny i podesty</vt:lpstr>
      <vt:lpstr>Przeglądy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Niziołek</dc:creator>
  <cp:lastModifiedBy>Weronika Niziołek</cp:lastModifiedBy>
  <dcterms:created xsi:type="dcterms:W3CDTF">2026-06-01T07:20:02Z</dcterms:created>
  <dcterms:modified xsi:type="dcterms:W3CDTF">2026-07-28T12:35:01Z</dcterms:modified>
</cp:coreProperties>
</file>